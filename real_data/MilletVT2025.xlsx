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7d62234183fd3ba/Documents/GitHub/sally-jd-yield-analysis/real_data/"/>
    </mc:Choice>
  </mc:AlternateContent>
  <xr:revisionPtr revIDLastSave="6038" documentId="8_{70CE45DE-619A-4560-983C-2CD05E8827EA}" xr6:coauthVersionLast="47" xr6:coauthVersionMax="47" xr10:uidLastSave="{E18DBC2E-CD66-456D-9177-EACF73C4A877}"/>
  <bookViews>
    <workbookView xWindow="-120" yWindow="-120" windowWidth="38640" windowHeight="21120" activeTab="4" xr2:uid="{13E4B292-2A26-4D58-AF7D-E6560B8B8F2D}"/>
  </bookViews>
  <sheets>
    <sheet name="Metadata" sheetId="9" r:id="rId1"/>
    <sheet name="Maps" sheetId="6" r:id="rId2"/>
    <sheet name="Sheet2" sheetId="11" r:id="rId3"/>
    <sheet name="25 MIllet VT Rand" sheetId="1" r:id="rId4"/>
    <sheet name="SAS" sheetId="10" r:id="rId5"/>
    <sheet name="AJ csv" sheetId="12" r:id="rId6"/>
  </sheets>
  <externalReferences>
    <externalReference r:id="rId7"/>
  </externalReferences>
  <definedNames>
    <definedName name="entry">'25 MIllet VT Rand'!$A$2:$B$75</definedName>
    <definedName name="irr">[1]Entries!$AD$1:$AG$32</definedName>
    <definedName name="phpl">#REF!</definedName>
    <definedName name="pkt">#REF!</definedName>
    <definedName name="pull">'25 MIllet VT Rand'!$A$2:$B$22</definedName>
    <definedName name="sally">#REF!</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2" l="1"/>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2" i="12"/>
  <c r="O7" i="10"/>
  <c r="N7" i="10"/>
  <c r="M7" i="10"/>
  <c r="O8" i="10"/>
  <c r="N8" i="10"/>
  <c r="M8" i="10"/>
  <c r="N9" i="10"/>
  <c r="M9" i="10"/>
  <c r="O9" i="10"/>
  <c r="CA23" i="10"/>
  <c r="CA25" i="10" s="1"/>
  <c r="BZ23" i="10"/>
  <c r="BC26" i="10"/>
  <c r="BC24" i="10"/>
  <c r="BB24" i="10"/>
  <c r="AE26" i="10"/>
  <c r="AE24" i="10"/>
  <c r="AD24" i="10"/>
  <c r="L83" i="1" l="1"/>
  <c r="Q83" i="1" s="1"/>
  <c r="R83" i="1" s="1"/>
  <c r="L123" i="1"/>
  <c r="Q123" i="1" s="1"/>
  <c r="R123" i="1" s="1"/>
  <c r="L75" i="1"/>
  <c r="Q75" i="1" s="1"/>
  <c r="R75" i="1" s="1"/>
  <c r="L147" i="1"/>
  <c r="Q147" i="1" s="1"/>
  <c r="R147" i="1" s="1"/>
  <c r="L43" i="1"/>
  <c r="Q43" i="1" s="1"/>
  <c r="R43" i="1" s="1"/>
  <c r="L35" i="1"/>
  <c r="Q35" i="1" s="1"/>
  <c r="R35" i="1" s="1"/>
  <c r="L100" i="1"/>
  <c r="Q100" i="1" s="1"/>
  <c r="R100" i="1" s="1"/>
  <c r="L27" i="1"/>
  <c r="Q27" i="1" s="1"/>
  <c r="R27" i="1" s="1"/>
  <c r="L131" i="1"/>
  <c r="Q131" i="1" s="1"/>
  <c r="R131" i="1" s="1"/>
  <c r="L84" i="1"/>
  <c r="Q84" i="1" s="1"/>
  <c r="R84" i="1" s="1"/>
  <c r="L52" i="1"/>
  <c r="Q52" i="1" s="1"/>
  <c r="R52" i="1" s="1"/>
  <c r="L91" i="1"/>
  <c r="Q91" i="1" s="1"/>
  <c r="R91" i="1" s="1"/>
  <c r="L60" i="1"/>
  <c r="Q60" i="1" s="1"/>
  <c r="R60" i="1" s="1"/>
  <c r="L68" i="1"/>
  <c r="Q68" i="1" s="1"/>
  <c r="R68" i="1" s="1"/>
  <c r="L12" i="1"/>
  <c r="Q12" i="1" s="1"/>
  <c r="R12" i="1" s="1"/>
  <c r="L20" i="1"/>
  <c r="Q20" i="1" s="1"/>
  <c r="R20" i="1" s="1"/>
  <c r="L108" i="1"/>
  <c r="Q108" i="1" s="1"/>
  <c r="R108" i="1" s="1"/>
  <c r="L156" i="1"/>
  <c r="Q156" i="1" s="1"/>
  <c r="R156" i="1" s="1"/>
  <c r="L140" i="1"/>
  <c r="Q140" i="1" s="1"/>
  <c r="R140" i="1" s="1"/>
  <c r="L4" i="1"/>
  <c r="Q4" i="1" s="1"/>
  <c r="R4" i="1" s="1"/>
  <c r="L117" i="1"/>
  <c r="Q117" i="1" s="1"/>
  <c r="R117" i="1" s="1"/>
  <c r="L29" i="1"/>
  <c r="Q29" i="1" s="1"/>
  <c r="R29" i="1" s="1"/>
  <c r="L157" i="1"/>
  <c r="Q157" i="1" s="1"/>
  <c r="R157" i="1" s="1"/>
  <c r="L141" i="1"/>
  <c r="Q141" i="1" s="1"/>
  <c r="R141" i="1" s="1"/>
  <c r="L134" i="1"/>
  <c r="Q134" i="1" s="1"/>
  <c r="R134" i="1" s="1"/>
  <c r="L5" i="1"/>
  <c r="Q5" i="1" s="1"/>
  <c r="R5" i="1" s="1"/>
  <c r="L77" i="1"/>
  <c r="Q77" i="1" s="1"/>
  <c r="R77" i="1" s="1"/>
  <c r="L37" i="1"/>
  <c r="Q37" i="1" s="1"/>
  <c r="R37" i="1" s="1"/>
  <c r="L109" i="1"/>
  <c r="Q109" i="1" s="1"/>
  <c r="R109" i="1" s="1"/>
  <c r="L22" i="1"/>
  <c r="Q22" i="1" s="1"/>
  <c r="R22" i="1" s="1"/>
  <c r="L94" i="1"/>
  <c r="Q94" i="1" s="1"/>
  <c r="R94" i="1" s="1"/>
  <c r="L62" i="1"/>
  <c r="Q62" i="1" s="1"/>
  <c r="R62" i="1" s="1"/>
  <c r="L14" i="1"/>
  <c r="Q14" i="1" s="1"/>
  <c r="R14" i="1" s="1"/>
  <c r="L102" i="1"/>
  <c r="Q102" i="1" s="1"/>
  <c r="R102" i="1" s="1"/>
  <c r="L46" i="1"/>
  <c r="Q46" i="1" s="1"/>
  <c r="R46" i="1" s="1"/>
  <c r="L54" i="1"/>
  <c r="Q54" i="1" s="1"/>
  <c r="R54" i="1" s="1"/>
  <c r="L70" i="1"/>
  <c r="Q70" i="1" s="1"/>
  <c r="R70" i="1" s="1"/>
  <c r="L150" i="1"/>
  <c r="Q150" i="1" s="1"/>
  <c r="R150" i="1" s="1"/>
  <c r="L126" i="1"/>
  <c r="Q126" i="1" s="1"/>
  <c r="R126" i="1" s="1"/>
  <c r="L63" i="1"/>
  <c r="Q63" i="1" s="1"/>
  <c r="R63" i="1" s="1"/>
  <c r="L103" i="1"/>
  <c r="Q103" i="1" s="1"/>
  <c r="R103" i="1" s="1"/>
  <c r="L55" i="1"/>
  <c r="Q55" i="1" s="1"/>
  <c r="R55" i="1" s="1"/>
  <c r="L47" i="1"/>
  <c r="Q47" i="1" s="1"/>
  <c r="R47" i="1" s="1"/>
  <c r="L31" i="1"/>
  <c r="Q31" i="1" s="1"/>
  <c r="R31" i="1" s="1"/>
  <c r="L159" i="1"/>
  <c r="Q159" i="1" s="1"/>
  <c r="R159" i="1" s="1"/>
  <c r="L119" i="1"/>
  <c r="Q119" i="1" s="1"/>
  <c r="R119" i="1" s="1"/>
  <c r="L143" i="1"/>
  <c r="Q143" i="1" s="1"/>
  <c r="R143" i="1" s="1"/>
  <c r="L72" i="1"/>
  <c r="Q72" i="1" s="1"/>
  <c r="R72" i="1" s="1"/>
  <c r="L15" i="1"/>
  <c r="Q15" i="1" s="1"/>
  <c r="R15" i="1" s="1"/>
  <c r="L151" i="1"/>
  <c r="Q151" i="1" s="1"/>
  <c r="R151" i="1" s="1"/>
  <c r="L8" i="1"/>
  <c r="Q8" i="1" s="1"/>
  <c r="R8" i="1" s="1"/>
  <c r="L135" i="1"/>
  <c r="Q135" i="1" s="1"/>
  <c r="R135" i="1" s="1"/>
  <c r="L112" i="1"/>
  <c r="Q112" i="1" s="1"/>
  <c r="R112" i="1" s="1"/>
  <c r="L128" i="1"/>
  <c r="Q128" i="1" s="1"/>
  <c r="R128" i="1" s="1"/>
  <c r="L24" i="1"/>
  <c r="Q24" i="1" s="1"/>
  <c r="R24" i="1" s="1"/>
  <c r="L88" i="1"/>
  <c r="Q88" i="1" s="1"/>
  <c r="R88" i="1" s="1"/>
  <c r="L40" i="1"/>
  <c r="Q40" i="1" s="1"/>
  <c r="R40" i="1" s="1"/>
  <c r="L80" i="1"/>
  <c r="Q80" i="1" s="1"/>
  <c r="R80" i="1" s="1"/>
  <c r="L96" i="1"/>
  <c r="Q96" i="1" s="1"/>
  <c r="R96" i="1" s="1"/>
  <c r="L57" i="1"/>
  <c r="Q57" i="1" s="1"/>
  <c r="R57" i="1" s="1"/>
  <c r="L145" i="1"/>
  <c r="Q145" i="1" s="1"/>
  <c r="R145" i="1" s="1"/>
  <c r="L89" i="1"/>
  <c r="Q89" i="1" s="1"/>
  <c r="R89" i="1" s="1"/>
  <c r="L33" i="1"/>
  <c r="Q33" i="1" s="1"/>
  <c r="R33" i="1" s="1"/>
  <c r="L97" i="1"/>
  <c r="Q97" i="1" s="1"/>
  <c r="R97" i="1" s="1"/>
  <c r="L122" i="1"/>
  <c r="Q122" i="1" s="1"/>
  <c r="R122" i="1" s="1"/>
  <c r="L138" i="1"/>
  <c r="Q138" i="1" s="1"/>
  <c r="R138" i="1" s="1"/>
  <c r="L161" i="1"/>
  <c r="Q161" i="1" s="1"/>
  <c r="R161" i="1" s="1"/>
  <c r="L113" i="1"/>
  <c r="Q113" i="1" s="1"/>
  <c r="R113" i="1" s="1"/>
  <c r="L105" i="1"/>
  <c r="Q105" i="1" s="1"/>
  <c r="R105" i="1" s="1"/>
  <c r="L82" i="1"/>
  <c r="Q82" i="1" s="1"/>
  <c r="R82" i="1" s="1"/>
  <c r="L49" i="1"/>
  <c r="Q49" i="1" s="1"/>
  <c r="R49" i="1" s="1"/>
  <c r="L10" i="1"/>
  <c r="Q10" i="1" s="1"/>
  <c r="R10" i="1" s="1"/>
  <c r="L153" i="1"/>
  <c r="Q153" i="1" s="1"/>
  <c r="R153" i="1" s="1"/>
  <c r="L42" i="1"/>
  <c r="Q42" i="1" s="1"/>
  <c r="R42" i="1" s="1"/>
  <c r="L66" i="1"/>
  <c r="Q66" i="1" s="1"/>
  <c r="R66" i="1" s="1"/>
  <c r="L130" i="1"/>
  <c r="Q130" i="1" s="1"/>
  <c r="R130" i="1" s="1"/>
  <c r="L18" i="1"/>
  <c r="Q18" i="1" s="1"/>
  <c r="R18" i="1" s="1"/>
  <c r="L26" i="1"/>
  <c r="Q26" i="1" s="1"/>
  <c r="R26" i="1" s="1"/>
  <c r="L74" i="1"/>
  <c r="Q74" i="1" s="1"/>
  <c r="R74" i="1" s="1"/>
  <c r="L3" i="1"/>
  <c r="Q3" i="1" s="1"/>
  <c r="R3" i="1" s="1"/>
  <c r="L19" i="1"/>
  <c r="Q19" i="1" s="1"/>
  <c r="R19" i="1" s="1"/>
  <c r="L99" i="1"/>
  <c r="Q99" i="1" s="1"/>
  <c r="R99" i="1" s="1"/>
  <c r="L11" i="1"/>
  <c r="Q11" i="1" s="1"/>
  <c r="R11" i="1" s="1"/>
  <c r="L59" i="1"/>
  <c r="Q59" i="1" s="1"/>
  <c r="R59" i="1" s="1"/>
  <c r="L76" i="1"/>
  <c r="Q76" i="1" s="1"/>
  <c r="R76" i="1" s="1"/>
  <c r="L44" i="1"/>
  <c r="Q44" i="1" s="1"/>
  <c r="R44" i="1" s="1"/>
  <c r="L67" i="1"/>
  <c r="Q67" i="1" s="1"/>
  <c r="R67" i="1" s="1"/>
  <c r="L155" i="1"/>
  <c r="Q155" i="1" s="1"/>
  <c r="R155" i="1" s="1"/>
  <c r="L51" i="1"/>
  <c r="Q51" i="1" s="1"/>
  <c r="R51" i="1" s="1"/>
  <c r="L107" i="1"/>
  <c r="Q107" i="1" s="1"/>
  <c r="R107" i="1" s="1"/>
  <c r="L139" i="1"/>
  <c r="Q139" i="1" s="1"/>
  <c r="R139" i="1" s="1"/>
  <c r="L132" i="1"/>
  <c r="Q132" i="1" s="1"/>
  <c r="R132" i="1" s="1"/>
  <c r="L124" i="1"/>
  <c r="Q124" i="1" s="1"/>
  <c r="R124" i="1" s="1"/>
  <c r="L116" i="1"/>
  <c r="Q116" i="1" s="1"/>
  <c r="R116" i="1" s="1"/>
  <c r="L92" i="1"/>
  <c r="Q92" i="1" s="1"/>
  <c r="R92" i="1" s="1"/>
  <c r="L28" i="1"/>
  <c r="Q28" i="1" s="1"/>
  <c r="R28" i="1" s="1"/>
  <c r="L36" i="1"/>
  <c r="Q36" i="1" s="1"/>
  <c r="R36" i="1" s="1"/>
  <c r="L85" i="1"/>
  <c r="Q85" i="1" s="1"/>
  <c r="R85" i="1" s="1"/>
  <c r="L148" i="1"/>
  <c r="Q148" i="1" s="1"/>
  <c r="R148" i="1" s="1"/>
  <c r="L13" i="1"/>
  <c r="Q13" i="1" s="1"/>
  <c r="R13" i="1" s="1"/>
  <c r="L133" i="1"/>
  <c r="Q133" i="1" s="1"/>
  <c r="R133" i="1" s="1"/>
  <c r="L61" i="1"/>
  <c r="Q61" i="1" s="1"/>
  <c r="R61" i="1" s="1"/>
  <c r="L21" i="1"/>
  <c r="Q21" i="1" s="1"/>
  <c r="R21" i="1" s="1"/>
  <c r="L69" i="1"/>
  <c r="Q69" i="1" s="1"/>
  <c r="R69" i="1" s="1"/>
  <c r="L53" i="1"/>
  <c r="Q53" i="1" s="1"/>
  <c r="R53" i="1" s="1"/>
  <c r="L101" i="1"/>
  <c r="Q101" i="1" s="1"/>
  <c r="R101" i="1" s="1"/>
  <c r="L125" i="1"/>
  <c r="Q125" i="1" s="1"/>
  <c r="R125" i="1" s="1"/>
  <c r="L93" i="1"/>
  <c r="Q93" i="1" s="1"/>
  <c r="R93" i="1" s="1"/>
  <c r="L30" i="1"/>
  <c r="Q30" i="1" s="1"/>
  <c r="R30" i="1" s="1"/>
  <c r="L142" i="1"/>
  <c r="Q142" i="1" s="1"/>
  <c r="R142" i="1" s="1"/>
  <c r="L38" i="1"/>
  <c r="Q38" i="1" s="1"/>
  <c r="R38" i="1" s="1"/>
  <c r="L118" i="1"/>
  <c r="Q118" i="1" s="1"/>
  <c r="R118" i="1" s="1"/>
  <c r="L149" i="1"/>
  <c r="Q149" i="1" s="1"/>
  <c r="R149" i="1" s="1"/>
  <c r="L45" i="1"/>
  <c r="Q45" i="1" s="1"/>
  <c r="R45" i="1" s="1"/>
  <c r="L6" i="1"/>
  <c r="Q6" i="1" s="1"/>
  <c r="R6" i="1" s="1"/>
  <c r="L86" i="1"/>
  <c r="Q86" i="1" s="1"/>
  <c r="R86" i="1" s="1"/>
  <c r="L78" i="1"/>
  <c r="Q78" i="1" s="1"/>
  <c r="R78" i="1" s="1"/>
  <c r="L110" i="1"/>
  <c r="Q110" i="1" s="1"/>
  <c r="R110" i="1" s="1"/>
  <c r="L158" i="1"/>
  <c r="Q158" i="1" s="1"/>
  <c r="R158" i="1" s="1"/>
  <c r="L39" i="1"/>
  <c r="Q39" i="1" s="1"/>
  <c r="R39" i="1" s="1"/>
  <c r="L7" i="1"/>
  <c r="Q7" i="1" s="1"/>
  <c r="R7" i="1" s="1"/>
  <c r="L111" i="1"/>
  <c r="Q111" i="1" s="1"/>
  <c r="R111" i="1" s="1"/>
  <c r="L71" i="1"/>
  <c r="Q71" i="1" s="1"/>
  <c r="R71" i="1" s="1"/>
  <c r="L23" i="1"/>
  <c r="Q23" i="1" s="1"/>
  <c r="R23" i="1" s="1"/>
  <c r="L87" i="1"/>
  <c r="Q87" i="1" s="1"/>
  <c r="R87" i="1" s="1"/>
  <c r="L64" i="1"/>
  <c r="Q64" i="1" s="1"/>
  <c r="R64" i="1" s="1"/>
  <c r="L48" i="1"/>
  <c r="Q48" i="1" s="1"/>
  <c r="R48" i="1" s="1"/>
  <c r="L127" i="1"/>
  <c r="Q127" i="1" s="1"/>
  <c r="R127" i="1" s="1"/>
  <c r="L79" i="1"/>
  <c r="Q79" i="1" s="1"/>
  <c r="R79" i="1" s="1"/>
  <c r="L95" i="1"/>
  <c r="Q95" i="1" s="1"/>
  <c r="R95" i="1" s="1"/>
  <c r="L32" i="1"/>
  <c r="Q32" i="1" s="1"/>
  <c r="R32" i="1" s="1"/>
  <c r="L144" i="1"/>
  <c r="Q144" i="1" s="1"/>
  <c r="R144" i="1" s="1"/>
  <c r="L120" i="1"/>
  <c r="Q120" i="1" s="1"/>
  <c r="R120" i="1" s="1"/>
  <c r="L16" i="1"/>
  <c r="Q16" i="1" s="1"/>
  <c r="R16" i="1" s="1"/>
  <c r="L136" i="1"/>
  <c r="Q136" i="1" s="1"/>
  <c r="R136" i="1" s="1"/>
  <c r="L160" i="1"/>
  <c r="Q160" i="1" s="1"/>
  <c r="R160" i="1" s="1"/>
  <c r="L152" i="1"/>
  <c r="Q152" i="1" s="1"/>
  <c r="R152" i="1" s="1"/>
  <c r="L56" i="1"/>
  <c r="Q56" i="1" s="1"/>
  <c r="R56" i="1" s="1"/>
  <c r="L104" i="1"/>
  <c r="Q104" i="1" s="1"/>
  <c r="R104" i="1" s="1"/>
  <c r="L25" i="1"/>
  <c r="Q25" i="1" s="1"/>
  <c r="R25" i="1" s="1"/>
  <c r="L121" i="1"/>
  <c r="Q121" i="1" s="1"/>
  <c r="R121" i="1" s="1"/>
  <c r="L9" i="1"/>
  <c r="Q9" i="1" s="1"/>
  <c r="R9" i="1" s="1"/>
  <c r="L137" i="1"/>
  <c r="Q137" i="1" s="1"/>
  <c r="R137" i="1" s="1"/>
  <c r="L41" i="1"/>
  <c r="Q41" i="1" s="1"/>
  <c r="R41" i="1" s="1"/>
  <c r="L129" i="1"/>
  <c r="Q129" i="1" s="1"/>
  <c r="R129" i="1" s="1"/>
  <c r="L81" i="1"/>
  <c r="Q81" i="1" s="1"/>
  <c r="R81" i="1" s="1"/>
  <c r="L98" i="1"/>
  <c r="Q98" i="1" s="1"/>
  <c r="R98" i="1" s="1"/>
  <c r="L17" i="1"/>
  <c r="Q17" i="1" s="1"/>
  <c r="R17" i="1" s="1"/>
  <c r="L73" i="1"/>
  <c r="Q73" i="1" s="1"/>
  <c r="R73" i="1" s="1"/>
  <c r="L90" i="1"/>
  <c r="Q90" i="1" s="1"/>
  <c r="R90" i="1" s="1"/>
  <c r="L65" i="1"/>
  <c r="Q65" i="1" s="1"/>
  <c r="R65" i="1" s="1"/>
  <c r="L58" i="1"/>
  <c r="Q58" i="1" s="1"/>
  <c r="R58" i="1" s="1"/>
  <c r="L146" i="1"/>
  <c r="Q146" i="1" s="1"/>
  <c r="R146" i="1" s="1"/>
  <c r="L162" i="1"/>
  <c r="Q162" i="1" s="1"/>
  <c r="R162" i="1" s="1"/>
  <c r="L106" i="1"/>
  <c r="Q106" i="1" s="1"/>
  <c r="R106" i="1" s="1"/>
  <c r="L114" i="1"/>
  <c r="Q114" i="1" s="1"/>
  <c r="R114" i="1" s="1"/>
  <c r="L34" i="1"/>
  <c r="Q34" i="1" s="1"/>
  <c r="R34" i="1" s="1"/>
  <c r="L154" i="1"/>
  <c r="Q154" i="1" s="1"/>
  <c r="R154" i="1" s="1"/>
  <c r="L50" i="1"/>
  <c r="Q50" i="1" s="1"/>
  <c r="R50" i="1" s="1"/>
  <c r="L115" i="1"/>
  <c r="Q115" i="1" s="1"/>
  <c r="R115" i="1" s="1"/>
</calcChain>
</file>

<file path=xl/sharedStrings.xml><?xml version="1.0" encoding="utf-8"?>
<sst xmlns="http://schemas.openxmlformats.org/spreadsheetml/2006/main" count="938" uniqueCount="239">
  <si>
    <t>Trial Name:</t>
  </si>
  <si>
    <t>MilletAVT24</t>
  </si>
  <si>
    <t>Spray Info</t>
  </si>
  <si>
    <t>Loccode:</t>
  </si>
  <si>
    <t>Akron</t>
  </si>
  <si>
    <t>Spray Date:</t>
  </si>
  <si>
    <t>Cooperator:</t>
  </si>
  <si>
    <t>CSU Crops Testing</t>
  </si>
  <si>
    <t>Volume:</t>
  </si>
  <si>
    <t>Brigade 2EC at 6 oz/ac</t>
  </si>
  <si>
    <t>Latitude:</t>
  </si>
  <si>
    <t>Conditions:</t>
  </si>
  <si>
    <t>Calm</t>
  </si>
  <si>
    <t>Longitude:</t>
  </si>
  <si>
    <t>Growth Stage:</t>
  </si>
  <si>
    <t>Vegetative</t>
  </si>
  <si>
    <t>Pests Present:</t>
  </si>
  <si>
    <t>Grasshoppers</t>
  </si>
  <si>
    <t>Seeding Info</t>
  </si>
  <si>
    <t xml:space="preserve">Note: </t>
  </si>
  <si>
    <t>Planting Date:</t>
  </si>
  <si>
    <t xml:space="preserve">Seeding Rate: </t>
  </si>
  <si>
    <t>15 lbs/a</t>
  </si>
  <si>
    <t>Seeding Depth:</t>
  </si>
  <si>
    <t>.75 inches</t>
  </si>
  <si>
    <t>Drill set-up/plot dimensions:</t>
  </si>
  <si>
    <t>7 rows on 10 inch spacing</t>
  </si>
  <si>
    <t>Notes on Planting:</t>
  </si>
  <si>
    <t>Good soil moisture</t>
  </si>
  <si>
    <t>Management Info</t>
  </si>
  <si>
    <t>Soil Type:</t>
  </si>
  <si>
    <t>Rago silt loam</t>
  </si>
  <si>
    <t>Tillage System:</t>
  </si>
  <si>
    <t>no-till</t>
  </si>
  <si>
    <t>Previous Crop:</t>
  </si>
  <si>
    <t>Wheat</t>
  </si>
  <si>
    <t>Fertilizer:</t>
  </si>
  <si>
    <t>Starter 10-34-0 at planting</t>
  </si>
  <si>
    <t>Herbicide:</t>
  </si>
  <si>
    <t>See right</t>
  </si>
  <si>
    <t>Fungicide:</t>
  </si>
  <si>
    <t>None</t>
  </si>
  <si>
    <t>Harvest Info</t>
  </si>
  <si>
    <t>Harvest Date:</t>
  </si>
  <si>
    <t>Top Yield:</t>
  </si>
  <si>
    <t>86.3 bu/ac</t>
  </si>
  <si>
    <t>Site Average Yield:</t>
  </si>
  <si>
    <t>70 bu/ac</t>
  </si>
  <si>
    <t>2025 Millet VT</t>
  </si>
  <si>
    <t>Source</t>
  </si>
  <si>
    <t>Name</t>
  </si>
  <si>
    <t>Entry_No_2025</t>
  </si>
  <si>
    <t>Plot number</t>
  </si>
  <si>
    <t>Rep</t>
  </si>
  <si>
    <t>UNL</t>
  </si>
  <si>
    <t>PMx11.32-93</t>
  </si>
  <si>
    <t>Earlybird</t>
  </si>
  <si>
    <t>PMx11.31-101</t>
  </si>
  <si>
    <t>DLG</t>
  </si>
  <si>
    <t>PMx11.35-32</t>
  </si>
  <si>
    <t>Horizon</t>
  </si>
  <si>
    <t>HxM 10-29</t>
  </si>
  <si>
    <t>Sunrise</t>
  </si>
  <si>
    <t>Huntsman</t>
  </si>
  <si>
    <t>PMx11.27-79</t>
  </si>
  <si>
    <t>PMx11.26-63</t>
  </si>
  <si>
    <t>2025 Millet VT Akron</t>
  </si>
  <si>
    <t>Rep 4</t>
  </si>
  <si>
    <t>Border</t>
  </si>
  <si>
    <t>Rep 8</t>
  </si>
  <si>
    <t>Rep 3</t>
  </si>
  <si>
    <t>Rep 7</t>
  </si>
  <si>
    <t>Rep 2</t>
  </si>
  <si>
    <t>Rep 6</t>
  </si>
  <si>
    <t>560 feet deep</t>
  </si>
  <si>
    <t>12 passes wide (84 ft)</t>
  </si>
  <si>
    <t>Rep 1</t>
  </si>
  <si>
    <t>Rep 5</t>
  </si>
  <si>
    <t>N</t>
  </si>
  <si>
    <r>
      <t xml:space="preserve">Pass 1 </t>
    </r>
    <r>
      <rPr>
        <sz val="12"/>
        <color theme="1"/>
        <rFont val="Calibri"/>
        <family val="2"/>
      </rPr>
      <t>↑</t>
    </r>
  </si>
  <si>
    <r>
      <t xml:space="preserve">Pass 2 </t>
    </r>
    <r>
      <rPr>
        <sz val="12"/>
        <color theme="1"/>
        <rFont val="Calibri"/>
        <family val="2"/>
      </rPr>
      <t>↓</t>
    </r>
  </si>
  <si>
    <r>
      <t xml:space="preserve">Pass 3 </t>
    </r>
    <r>
      <rPr>
        <sz val="12"/>
        <color theme="1"/>
        <rFont val="Calibri"/>
        <family val="2"/>
      </rPr>
      <t>↑</t>
    </r>
  </si>
  <si>
    <r>
      <t xml:space="preserve">Pass 4 </t>
    </r>
    <r>
      <rPr>
        <sz val="12"/>
        <color theme="1"/>
        <rFont val="Calibri"/>
        <family val="2"/>
      </rPr>
      <t>↓</t>
    </r>
  </si>
  <si>
    <r>
      <t xml:space="preserve">Pass 5 </t>
    </r>
    <r>
      <rPr>
        <sz val="12"/>
        <color theme="1"/>
        <rFont val="Calibri"/>
        <family val="2"/>
      </rPr>
      <t>↑</t>
    </r>
  </si>
  <si>
    <r>
      <t xml:space="preserve">Pass 6 </t>
    </r>
    <r>
      <rPr>
        <sz val="12"/>
        <color theme="1"/>
        <rFont val="Calibri"/>
        <family val="2"/>
      </rPr>
      <t>↓</t>
    </r>
  </si>
  <si>
    <r>
      <t xml:space="preserve">Pass 7 </t>
    </r>
    <r>
      <rPr>
        <sz val="12"/>
        <color theme="1"/>
        <rFont val="Calibri"/>
        <family val="2"/>
      </rPr>
      <t>↑</t>
    </r>
  </si>
  <si>
    <r>
      <t xml:space="preserve">Pass 8 </t>
    </r>
    <r>
      <rPr>
        <sz val="12"/>
        <color theme="1"/>
        <rFont val="Calibri"/>
        <family val="2"/>
      </rPr>
      <t>↓</t>
    </r>
  </si>
  <si>
    <r>
      <t xml:space="preserve">Pass 9 </t>
    </r>
    <r>
      <rPr>
        <sz val="12"/>
        <color theme="1"/>
        <rFont val="Calibri"/>
        <family val="2"/>
      </rPr>
      <t>↑</t>
    </r>
  </si>
  <si>
    <r>
      <t xml:space="preserve">Pass 10 </t>
    </r>
    <r>
      <rPr>
        <sz val="12"/>
        <color theme="1"/>
        <rFont val="Calibri"/>
        <family val="2"/>
      </rPr>
      <t>↓</t>
    </r>
  </si>
  <si>
    <t>Plot 1 Cardinal Directions (eg NW corner):</t>
  </si>
  <si>
    <t>S12 east side</t>
  </si>
  <si>
    <t>GPS Coordinates:</t>
  </si>
  <si>
    <t>Nearest crossroads:</t>
  </si>
  <si>
    <t xml:space="preserve">Planting Date: </t>
  </si>
  <si>
    <t>Plot Stakes put out? (Y/N):</t>
  </si>
  <si>
    <t>no</t>
  </si>
  <si>
    <t>Who Planted the site?:</t>
  </si>
  <si>
    <t>JW/Vw</t>
  </si>
  <si>
    <t>Planting Issues or Comments:</t>
  </si>
  <si>
    <t>3/4" deep</t>
  </si>
  <si>
    <t>10-34-0 starter</t>
  </si>
  <si>
    <t>Plot Length (feet)</t>
  </si>
  <si>
    <t>Plot Width (ft)</t>
  </si>
  <si>
    <t>Harvest Sequence</t>
  </si>
  <si>
    <t>PlotWeight (lb)</t>
  </si>
  <si>
    <t>Moisture (%)</t>
  </si>
  <si>
    <t>Test Weight (lb/bu)</t>
  </si>
  <si>
    <t>Yield_lba</t>
  </si>
  <si>
    <t>Yield_bua</t>
  </si>
  <si>
    <t>GAC Moisture</t>
  </si>
  <si>
    <t>GAC Test Wgt</t>
  </si>
  <si>
    <t>Plot Area</t>
  </si>
  <si>
    <t>Date/Time</t>
  </si>
  <si>
    <t>Range</t>
  </si>
  <si>
    <t>Row</t>
  </si>
  <si>
    <t>PlotId</t>
  </si>
  <si>
    <t>Weight (lb)</t>
  </si>
  <si>
    <t>TW lb/bu</t>
  </si>
  <si>
    <t>Code</t>
  </si>
  <si>
    <t>Col</t>
  </si>
  <si>
    <t>yield</t>
  </si>
  <si>
    <t>Resid</t>
  </si>
  <si>
    <t>Observation</t>
  </si>
  <si>
    <t>Observed</t>
  </si>
  <si>
    <t>Predicted</t>
  </si>
  <si>
    <t>Residual</t>
  </si>
  <si>
    <t>Effect</t>
  </si>
  <si>
    <t>entry</t>
  </si>
  <si>
    <t>Estimate</t>
  </si>
  <si>
    <t>Standard</t>
  </si>
  <si>
    <t>DF</t>
  </si>
  <si>
    <t>t Value</t>
  </si>
  <si>
    <t>Pr &gt; |t|</t>
  </si>
  <si>
    <t>Alpha</t>
  </si>
  <si>
    <t>Lower</t>
  </si>
  <si>
    <t>Upper</t>
  </si>
  <si>
    <t>lsd .30</t>
  </si>
  <si>
    <t>StdErr</t>
  </si>
  <si>
    <t>Obs</t>
  </si>
  <si>
    <t>lsd .05</t>
  </si>
  <si>
    <t>TW</t>
  </si>
  <si>
    <t>lsd</t>
  </si>
  <si>
    <t>Error</t>
  </si>
  <si>
    <t>&lt;.0001</t>
  </si>
  <si>
    <t>Yield</t>
  </si>
  <si>
    <t xml:space="preserve"> LSD (.30):</t>
  </si>
  <si>
    <t xml:space="preserve">LSD (.05): </t>
  </si>
  <si>
    <t xml:space="preserve">CV: </t>
  </si>
  <si>
    <t>Model</t>
  </si>
  <si>
    <t>AICC</t>
  </si>
  <si>
    <t>BIC</t>
  </si>
  <si>
    <t>P-value</t>
  </si>
  <si>
    <t>SE</t>
  </si>
  <si>
    <t>exp</t>
  </si>
  <si>
    <t>expa</t>
  </si>
  <si>
    <t>pow</t>
  </si>
  <si>
    <t>powa</t>
  </si>
  <si>
    <t>Non-spatial</t>
  </si>
  <si>
    <t>SAS Editor Codes</t>
  </si>
  <si>
    <r>
      <t xml:space="preserve">data </t>
    </r>
    <r>
      <rPr>
        <i/>
        <sz val="11"/>
        <color theme="1"/>
        <rFont val="Times New Roman"/>
        <family val="1"/>
      </rPr>
      <t>location</t>
    </r>
    <r>
      <rPr>
        <sz val="11"/>
        <color theme="1"/>
        <rFont val="Calibri"/>
        <family val="2"/>
      </rPr>
      <t>;</t>
    </r>
  </si>
  <si>
    <t>input entry rep row col yield tw;</t>
  </si>
  <si>
    <t>cards;</t>
  </si>
  <si>
    <t>data</t>
  </si>
  <si>
    <t>proc sgplot;</t>
  </si>
  <si>
    <t>;</t>
  </si>
  <si>
    <t>heatmapparm x=col y=row colorresponse=resid;</t>
  </si>
  <si>
    <t>proc glm;</t>
  </si>
  <si>
    <t>gradlegend;</t>
  </si>
  <si>
    <t xml:space="preserve">class entry rep row col;                                                                                                                      </t>
  </si>
  <si>
    <t>run;</t>
  </si>
  <si>
    <t xml:space="preserve">model yield=entry rep/p;                                                                                                                        </t>
  </si>
  <si>
    <t xml:space="preserve">means entry/lsd alpha=.30;                                                                                                                    </t>
  </si>
  <si>
    <t xml:space="preserve">run;    </t>
  </si>
  <si>
    <t>dm'output;clear;odsresults;clear;';</t>
  </si>
  <si>
    <t>ods exclude diffs;</t>
  </si>
  <si>
    <t xml:space="preserve">proc mixed method=reml plots=studentpanel;                                                                                                                                   </t>
  </si>
  <si>
    <t xml:space="preserve">class rep entry;                                                                                                                              </t>
  </si>
  <si>
    <t xml:space="preserve">model yield=entry;      </t>
  </si>
  <si>
    <t xml:space="preserve">random rep;                                                                                                                                   </t>
  </si>
  <si>
    <r>
      <t>repeated /subject=intercept type=sp(</t>
    </r>
    <r>
      <rPr>
        <i/>
        <sz val="11"/>
        <color theme="1"/>
        <rFont val="Times New Roman"/>
        <family val="1"/>
      </rPr>
      <t>exp</t>
    </r>
    <r>
      <rPr>
        <sz val="11"/>
        <color theme="1"/>
        <rFont val="Times New Roman"/>
        <family val="1"/>
      </rPr>
      <t xml:space="preserve">) (row col) ;                                                                                         </t>
    </r>
  </si>
  <si>
    <t>lsmeans entry/pdiff cl alpha=0.30;</t>
  </si>
  <si>
    <t xml:space="preserve">ods output diffs=diffs; </t>
  </si>
  <si>
    <t xml:space="preserve">run;  </t>
  </si>
  <si>
    <t>Change code in repeated line for each of the listed spatial models listed above and record AIC, BIC, and Pr&gt;F</t>
  </si>
  <si>
    <t>Choose best model based on lowest AICC value and lowest P-value if necessary</t>
  </si>
  <si>
    <t>data location;</t>
  </si>
  <si>
    <t>set diffs;</t>
  </si>
  <si>
    <t>lsd=stderr*tinv (1-.3/2,df);</t>
  </si>
  <si>
    <t>proc print data=location;</t>
  </si>
  <si>
    <t>var lsd estimate stderr df;</t>
  </si>
  <si>
    <t>Change code in repeated line for best model and run additional code to get LSD output</t>
  </si>
  <si>
    <t>Copy and paste the table with lsd, estimate, StdErr, DF to excel and take avg. of LSD column values to report least significant difference</t>
  </si>
  <si>
    <t>Copy/paste Least Squares Means table (near top of new output), which has entry, yield estimate, standard error, DF, t value, Pr&gt;t, Alpha, Lower, Upper.  Really need entry and estimate columns.  This table is the avg. yield for each entry taking into account spatial variability of trial.  We usually report these means instead of arithmatic means shown in Excel Pivot table or Proc GLM ANOVA results.</t>
  </si>
  <si>
    <t>Take variation out of yield data is end goal. Variation we can't control in field.</t>
  </si>
  <si>
    <t>.</t>
  </si>
  <si>
    <t xml:space="preserve">TW </t>
  </si>
  <si>
    <t>bu</t>
  </si>
  <si>
    <t>ok</t>
  </si>
  <si>
    <t xml:space="preserve">                                                </t>
  </si>
  <si>
    <t>bu/ac</t>
  </si>
  <si>
    <t>lb/ac</t>
  </si>
  <si>
    <t xml:space="preserve">lb/ac </t>
  </si>
  <si>
    <t>Yield bu</t>
  </si>
  <si>
    <t>Yield lb</t>
  </si>
  <si>
    <t>DLG240</t>
  </si>
  <si>
    <t>DLG317</t>
  </si>
  <si>
    <t>DLG28</t>
  </si>
  <si>
    <t>DLG-0116944</t>
  </si>
  <si>
    <t>DLG-0128534</t>
  </si>
  <si>
    <t>DLG-0103039</t>
  </si>
  <si>
    <t>DLG-0102353</t>
  </si>
  <si>
    <t>DLG-0127876</t>
  </si>
  <si>
    <t>DLG-0100837</t>
  </si>
  <si>
    <t>DLG-0111331</t>
  </si>
  <si>
    <t>Row Labels</t>
  </si>
  <si>
    <t>Grand Total</t>
  </si>
  <si>
    <t>Average of Moisture (%)</t>
  </si>
  <si>
    <t>Average of TW lb/bu</t>
  </si>
  <si>
    <t>Moist</t>
  </si>
  <si>
    <t>A</t>
  </si>
  <si>
    <t>B</t>
  </si>
  <si>
    <t>C</t>
  </si>
  <si>
    <t>D</t>
  </si>
  <si>
    <t>E</t>
  </si>
  <si>
    <t>F</t>
  </si>
  <si>
    <t>G</t>
  </si>
  <si>
    <t>H</t>
  </si>
  <si>
    <t>J</t>
  </si>
  <si>
    <t>K</t>
  </si>
  <si>
    <t>lb/bu</t>
  </si>
  <si>
    <t>Average of Entry_No_2025</t>
  </si>
  <si>
    <t>Entry</t>
  </si>
  <si>
    <t>site</t>
  </si>
  <si>
    <t>year</t>
  </si>
  <si>
    <t>env</t>
  </si>
  <si>
    <t>rep</t>
  </si>
  <si>
    <t>row</t>
  </si>
  <si>
    <t>col</t>
  </si>
  <si>
    <t>MilletVT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</si>
</sst>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1"/>
      <color theme="1"/>
      <name val="Calibri"/>
      <family val="2"/>
      <scheme val="minor"/>
    </font>
    <font>
      <strike/>
      <sz val="11"/>
      <color theme="1"/>
      <name val="Calibri"/>
      <family val="2"/>
      <scheme val="minor"/>
    </font>
    <font>
      <sz val="11"/>
      <color theme="1"/>
      <name val="Calibri"/>
      <family val="2"/>
      <scheme val="minor"/>
    </font>
    <font>
      <sz val="12"/>
      <color theme="1"/>
      <name val="Times New Roman"/>
      <family val="2"/>
    </font>
    <font>
      <sz val="10"/>
      <name val="Arial"/>
      <family val="2"/>
    </font>
    <font>
      <sz val="12"/>
      <color theme="1"/>
      <name val="Times New Roman"/>
      <family val="1"/>
    </font>
    <font>
      <sz val="10"/>
      <color theme="1"/>
      <name val="Times New Roman"/>
      <family val="2"/>
    </font>
    <font>
      <sz val="10"/>
      <color theme="1"/>
      <name val="Calibri"/>
      <family val="2"/>
      <scheme val="minor"/>
    </font>
    <font>
      <b/>
      <sz val="10"/>
      <color theme="1"/>
      <name val="Times New Roman"/>
      <family val="1"/>
    </font>
    <font>
      <b/>
      <sz val="16"/>
      <color theme="1"/>
      <name val="Calibri"/>
      <family val="2"/>
      <scheme val="minor"/>
    </font>
    <font>
      <sz val="10"/>
      <color indexed="72"/>
      <name val="Verdana"/>
      <family val="2"/>
    </font>
    <font>
      <b/>
      <sz val="20"/>
      <color theme="1"/>
      <name val="Calibri"/>
      <family val="2"/>
      <scheme val="minor"/>
    </font>
    <font>
      <sz val="12"/>
      <color theme="1"/>
      <name val="Calibri"/>
      <family val="2"/>
    </font>
    <font>
      <b/>
      <sz val="18"/>
      <color theme="1"/>
      <name val="Calibri"/>
      <family val="2"/>
      <scheme val="minor"/>
    </font>
    <font>
      <sz val="11"/>
      <color rgb="FFFF0000"/>
      <name val="Calibri"/>
      <family val="2"/>
      <scheme val="minor"/>
    </font>
    <font>
      <sz val="11"/>
      <color theme="1"/>
      <name val="Calibri"/>
      <family val="2"/>
    </font>
    <font>
      <b/>
      <sz val="12"/>
      <color indexed="8"/>
      <name val="Times New Roman"/>
      <family val="1"/>
    </font>
    <font>
      <b/>
      <sz val="12"/>
      <color theme="1"/>
      <name val="Times New Roman"/>
      <family val="1"/>
    </font>
    <font>
      <b/>
      <sz val="12"/>
      <name val="Times New Roman"/>
      <family val="1"/>
    </font>
    <font>
      <b/>
      <sz val="11"/>
      <color rgb="FF000000"/>
      <name val="Arial"/>
      <family val="2"/>
    </font>
    <font>
      <b/>
      <sz val="11"/>
      <color theme="1"/>
      <name val="Calibri"/>
      <family val="2"/>
    </font>
    <font>
      <sz val="11"/>
      <color rgb="FF000000"/>
      <name val="Arial"/>
      <family val="2"/>
    </font>
    <font>
      <sz val="11"/>
      <name val="Times New Roman"/>
      <family val="2"/>
    </font>
    <font>
      <sz val="11"/>
      <name val="Arial"/>
      <family val="2"/>
    </font>
    <font>
      <strike/>
      <sz val="11"/>
      <color rgb="FF000000"/>
      <name val="Arial"/>
      <family val="2"/>
    </font>
    <font>
      <strike/>
      <sz val="11"/>
      <color theme="1"/>
      <name val="Calibri"/>
      <family val="2"/>
    </font>
    <font>
      <strike/>
      <sz val="12"/>
      <color theme="1"/>
      <name val="Times New Roman"/>
      <family val="2"/>
    </font>
    <font>
      <b/>
      <sz val="11"/>
      <color theme="1"/>
      <name val="Times New Roman"/>
      <family val="1"/>
    </font>
    <font>
      <i/>
      <sz val="11"/>
      <color theme="1"/>
      <name val="Times New Roman"/>
      <family val="1"/>
    </font>
    <font>
      <sz val="11"/>
      <color theme="1"/>
      <name val="Times New Roman"/>
      <family val="1"/>
    </font>
    <font>
      <sz val="8"/>
      <name val="Calibri"/>
      <family val="2"/>
      <scheme val="minor"/>
    </font>
    <font>
      <u/>
      <sz val="11"/>
      <color theme="10"/>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C00000"/>
        <bgColor indexed="64"/>
      </patternFill>
    </fill>
    <fill>
      <patternFill patternType="solid">
        <fgColor theme="9" tint="0.79998168889431442"/>
        <bgColor indexed="64"/>
      </patternFill>
    </fill>
    <fill>
      <patternFill patternType="solid">
        <fgColor theme="4" tint="0.79998168889431442"/>
        <bgColor theme="4" tint="0.79998168889431442"/>
      </patternFill>
    </fill>
  </fills>
  <borders count="42">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right/>
      <top/>
      <bottom style="medium">
        <color indexed="64"/>
      </bottom>
      <diagonal/>
    </border>
    <border>
      <left/>
      <right/>
      <top style="thin">
        <color auto="1"/>
      </top>
      <bottom style="medium">
        <color indexed="64"/>
      </bottom>
      <diagonal/>
    </border>
    <border>
      <left style="medium">
        <color indexed="64"/>
      </left>
      <right/>
      <top/>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dashed">
        <color indexed="64"/>
      </left>
      <right style="dashed">
        <color indexed="64"/>
      </right>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style="medium">
        <color rgb="FFC1C1C1"/>
      </left>
      <right/>
      <top style="medium">
        <color rgb="FFC1C1C1"/>
      </top>
      <bottom/>
      <diagonal/>
    </border>
    <border>
      <left/>
      <right/>
      <top style="medium">
        <color rgb="FFC1C1C1"/>
      </top>
      <bottom/>
      <diagonal/>
    </border>
    <border>
      <left/>
      <right/>
      <top style="thin">
        <color rgb="FFC1C1C1"/>
      </top>
      <bottom/>
      <diagonal/>
    </border>
    <border>
      <left style="medium">
        <color rgb="FFC1C1C1"/>
      </left>
      <right/>
      <top/>
      <bottom/>
      <diagonal/>
    </border>
    <border>
      <left style="thin">
        <color rgb="FFC1C1C1"/>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medium">
        <color rgb="FFC1C1C1"/>
      </left>
      <right/>
      <top/>
      <bottom style="thin">
        <color rgb="FFC1C1C1"/>
      </bottom>
      <diagonal/>
    </border>
    <border>
      <left/>
      <right/>
      <top/>
      <bottom style="thin">
        <color rgb="FFC1C1C1"/>
      </bottom>
      <diagonal/>
    </border>
    <border>
      <left/>
      <right/>
      <top/>
      <bottom style="thin">
        <color theme="4" tint="0.39997558519241921"/>
      </bottom>
      <diagonal/>
    </border>
  </borders>
  <cellStyleXfs count="13">
    <xf numFmtId="0" fontId="0" fillId="0" borderId="0"/>
    <xf numFmtId="0" fontId="3" fillId="0" borderId="0"/>
    <xf numFmtId="0" fontId="4" fillId="0" borderId="0"/>
    <xf numFmtId="0" fontId="3" fillId="0" borderId="0"/>
    <xf numFmtId="0" fontId="5" fillId="0" borderId="0"/>
    <xf numFmtId="0" fontId="4" fillId="0" borderId="0"/>
    <xf numFmtId="0" fontId="11" fillId="0" borderId="0"/>
    <xf numFmtId="0" fontId="3" fillId="0" borderId="0"/>
    <xf numFmtId="0" fontId="4" fillId="0" borderId="0"/>
    <xf numFmtId="9" fontId="4" fillId="0" borderId="0" applyFont="0" applyFill="0" applyBorder="0" applyAlignment="0" applyProtection="0"/>
    <xf numFmtId="0" fontId="5" fillId="0" borderId="0"/>
    <xf numFmtId="0" fontId="4" fillId="0" borderId="0"/>
    <xf numFmtId="0" fontId="32" fillId="0" borderId="0" applyNumberFormat="0" applyFill="0" applyBorder="0" applyAlignment="0" applyProtection="0"/>
  </cellStyleXfs>
  <cellXfs count="143">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xf>
    <xf numFmtId="0" fontId="0" fillId="0" borderId="0" xfId="0" applyAlignment="1">
      <alignment horizontal="left"/>
    </xf>
    <xf numFmtId="0" fontId="1" fillId="0" borderId="0" xfId="0" applyFont="1" applyAlignment="1">
      <alignment horizontal="left"/>
    </xf>
    <xf numFmtId="0" fontId="0" fillId="0" borderId="0" xfId="0" applyAlignment="1">
      <alignment horizontal="left" vertical="center"/>
    </xf>
    <xf numFmtId="0" fontId="1" fillId="0" borderId="0" xfId="0" applyFont="1"/>
    <xf numFmtId="14" fontId="0" fillId="0" borderId="0" xfId="0" applyNumberFormat="1"/>
    <xf numFmtId="0" fontId="0" fillId="0" borderId="0" xfId="0" applyAlignment="1">
      <alignment textRotation="90"/>
    </xf>
    <xf numFmtId="0" fontId="8" fillId="0" borderId="0" xfId="0" applyFont="1"/>
    <xf numFmtId="0" fontId="7" fillId="0" borderId="3" xfId="5" applyFont="1" applyBorder="1" applyAlignment="1">
      <alignment vertical="center"/>
    </xf>
    <xf numFmtId="0" fontId="7" fillId="0" borderId="0" xfId="5" applyFont="1" applyAlignment="1">
      <alignment vertical="center"/>
    </xf>
    <xf numFmtId="0" fontId="9" fillId="0" borderId="4" xfId="5" applyFont="1" applyBorder="1" applyAlignment="1">
      <alignment wrapText="1"/>
    </xf>
    <xf numFmtId="0" fontId="7" fillId="0" borderId="4" xfId="5" applyFont="1" applyBorder="1" applyAlignment="1">
      <alignment vertical="center"/>
    </xf>
    <xf numFmtId="0" fontId="7" fillId="0" borderId="4" xfId="5" applyFont="1" applyBorder="1"/>
    <xf numFmtId="0" fontId="7" fillId="0" borderId="0" xfId="5" applyFont="1" applyAlignment="1">
      <alignment horizontal="center" vertical="center"/>
    </xf>
    <xf numFmtId="14" fontId="7" fillId="0" borderId="4" xfId="5" applyNumberFormat="1" applyFont="1" applyBorder="1" applyAlignment="1">
      <alignment horizontal="left"/>
    </xf>
    <xf numFmtId="0" fontId="0" fillId="0" borderId="7" xfId="0" applyBorder="1"/>
    <xf numFmtId="0" fontId="0" fillId="0" borderId="1" xfId="0" applyBorder="1"/>
    <xf numFmtId="0" fontId="0" fillId="0" borderId="2" xfId="0" applyBorder="1"/>
    <xf numFmtId="0" fontId="0" fillId="0" borderId="9" xfId="0" applyBorder="1"/>
    <xf numFmtId="0" fontId="7" fillId="0" borderId="8" xfId="5" applyFont="1" applyBorder="1" applyAlignment="1">
      <alignment vertical="center" wrapText="1"/>
    </xf>
    <xf numFmtId="0" fontId="8" fillId="0" borderId="11" xfId="0" applyFont="1" applyBorder="1"/>
    <xf numFmtId="0" fontId="0" fillId="0" borderId="11" xfId="0" applyBorder="1"/>
    <xf numFmtId="0" fontId="0" fillId="0" borderId="5" xfId="0" applyBorder="1"/>
    <xf numFmtId="0" fontId="0" fillId="0" borderId="6" xfId="0" applyBorder="1"/>
    <xf numFmtId="0" fontId="0" fillId="0" borderId="4" xfId="0" applyBorder="1"/>
    <xf numFmtId="0" fontId="8" fillId="0" borderId="4" xfId="0" applyFont="1" applyBorder="1"/>
    <xf numFmtId="0" fontId="0" fillId="0" borderId="8" xfId="0" applyBorder="1"/>
    <xf numFmtId="0" fontId="8" fillId="0" borderId="8" xfId="0" applyFont="1" applyBorder="1"/>
    <xf numFmtId="0" fontId="10" fillId="0" borderId="0" xfId="0" applyFont="1" applyAlignment="1">
      <alignment horizontal="center"/>
    </xf>
    <xf numFmtId="16" fontId="0" fillId="0" borderId="0" xfId="0" applyNumberFormat="1"/>
    <xf numFmtId="164" fontId="0" fillId="0" borderId="0" xfId="0" applyNumberFormat="1" applyAlignment="1">
      <alignment horizontal="center"/>
    </xf>
    <xf numFmtId="14" fontId="0" fillId="0" borderId="0" xfId="0" applyNumberFormat="1" applyAlignment="1">
      <alignment horizontal="left"/>
    </xf>
    <xf numFmtId="0" fontId="0" fillId="0" borderId="15" xfId="0" applyBorder="1" applyAlignment="1">
      <alignment horizontal="left"/>
    </xf>
    <xf numFmtId="0" fontId="0" fillId="0" borderId="7" xfId="0" applyBorder="1" applyAlignment="1">
      <alignment horizontal="left" vertical="center"/>
    </xf>
    <xf numFmtId="0" fontId="0" fillId="0" borderId="15" xfId="0" applyBorder="1" applyAlignment="1">
      <alignment horizontal="left" vertical="center"/>
    </xf>
    <xf numFmtId="0" fontId="0" fillId="0" borderId="21" xfId="0" applyBorder="1" applyAlignment="1">
      <alignment horizontal="left" vertical="center"/>
    </xf>
    <xf numFmtId="0" fontId="0" fillId="0" borderId="21" xfId="0" applyBorder="1" applyAlignment="1">
      <alignment horizontal="left"/>
    </xf>
    <xf numFmtId="0" fontId="0" fillId="0" borderId="24" xfId="0" applyBorder="1" applyAlignment="1">
      <alignment horizontal="left" vertical="center"/>
    </xf>
    <xf numFmtId="0" fontId="0" fillId="0" borderId="24" xfId="0" applyBorder="1" applyAlignment="1">
      <alignment horizontal="left"/>
    </xf>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0" borderId="28" xfId="0" applyBorder="1" applyAlignment="1">
      <alignment horizontal="left" vertical="center"/>
    </xf>
    <xf numFmtId="0" fontId="6" fillId="0" borderId="29" xfId="7" applyFont="1" applyBorder="1"/>
    <xf numFmtId="0" fontId="14" fillId="0" borderId="20" xfId="0" applyFont="1" applyBorder="1" applyAlignment="1">
      <alignment horizontal="center" vertical="center"/>
    </xf>
    <xf numFmtId="0" fontId="14" fillId="0" borderId="23" xfId="0" applyFont="1" applyBorder="1" applyAlignment="1">
      <alignment horizontal="center" vertical="center"/>
    </xf>
    <xf numFmtId="0" fontId="14" fillId="0" borderId="13" xfId="0" applyFont="1" applyBorder="1" applyAlignment="1">
      <alignment horizontal="center" vertical="center"/>
    </xf>
    <xf numFmtId="0" fontId="14" fillId="0" borderId="2" xfId="0" applyFont="1" applyBorder="1" applyAlignment="1">
      <alignment horizontal="center" vertical="center"/>
    </xf>
    <xf numFmtId="0" fontId="14" fillId="0" borderId="19" xfId="0" applyFont="1" applyBorder="1" applyAlignment="1">
      <alignment horizontal="center" vertical="center"/>
    </xf>
    <xf numFmtId="0" fontId="14" fillId="0" borderId="22" xfId="0" applyFont="1" applyBorder="1" applyAlignment="1">
      <alignment horizontal="center" vertical="center"/>
    </xf>
    <xf numFmtId="0" fontId="1" fillId="0" borderId="0" xfId="0" applyFont="1" applyAlignment="1">
      <alignment wrapText="1"/>
    </xf>
    <xf numFmtId="22" fontId="0" fillId="0" borderId="0" xfId="0" applyNumberFormat="1"/>
    <xf numFmtId="1" fontId="0" fillId="0" borderId="0" xfId="0" applyNumberFormat="1" applyAlignment="1">
      <alignment horizontal="center"/>
    </xf>
    <xf numFmtId="0" fontId="1" fillId="2" borderId="0" xfId="0" applyFont="1" applyFill="1" applyAlignment="1">
      <alignment horizontal="center" wrapText="1"/>
    </xf>
    <xf numFmtId="0" fontId="17" fillId="0" borderId="0" xfId="1" applyFont="1" applyAlignment="1">
      <alignment horizontal="center" wrapText="1"/>
    </xf>
    <xf numFmtId="0" fontId="18" fillId="0" borderId="0" xfId="1" applyFont="1" applyAlignment="1">
      <alignment horizontal="center"/>
    </xf>
    <xf numFmtId="0" fontId="19" fillId="0" borderId="0" xfId="3" applyFont="1" applyAlignment="1">
      <alignment horizontal="center"/>
    </xf>
    <xf numFmtId="0" fontId="4" fillId="0" borderId="0" xfId="8"/>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3" xfId="0" applyFont="1" applyBorder="1" applyAlignment="1">
      <alignment horizontal="center" vertical="top" wrapText="1"/>
    </xf>
    <xf numFmtId="0" fontId="20" fillId="0" borderId="0" xfId="0" applyFont="1" applyAlignment="1">
      <alignment horizontal="center" vertical="top" wrapText="1"/>
    </xf>
    <xf numFmtId="0" fontId="1" fillId="0" borderId="34" xfId="0" applyFont="1" applyBorder="1"/>
    <xf numFmtId="0" fontId="16" fillId="0" borderId="35" xfId="8" applyFont="1" applyBorder="1"/>
    <xf numFmtId="0" fontId="21" fillId="0" borderId="35" xfId="8" applyFont="1" applyBorder="1"/>
    <xf numFmtId="164" fontId="16" fillId="0" borderId="35" xfId="8" applyNumberFormat="1" applyFont="1" applyBorder="1" applyAlignment="1">
      <alignment horizontal="center"/>
    </xf>
    <xf numFmtId="164" fontId="16" fillId="0" borderId="35" xfId="9" applyNumberFormat="1" applyFont="1" applyBorder="1" applyAlignment="1">
      <alignment horizontal="center"/>
    </xf>
    <xf numFmtId="0" fontId="16" fillId="0" borderId="36" xfId="8" applyFont="1" applyBorder="1" applyAlignment="1">
      <alignment horizontal="left" vertical="center"/>
    </xf>
    <xf numFmtId="0" fontId="16" fillId="0" borderId="37" xfId="8" applyFont="1" applyBorder="1" applyAlignment="1">
      <alignment vertical="center"/>
    </xf>
    <xf numFmtId="0" fontId="16" fillId="2" borderId="37" xfId="8" applyFont="1" applyFill="1" applyBorder="1" applyAlignment="1">
      <alignment vertical="center"/>
    </xf>
    <xf numFmtId="0" fontId="16" fillId="2" borderId="37" xfId="8" applyFont="1" applyFill="1" applyBorder="1"/>
    <xf numFmtId="0" fontId="16" fillId="0" borderId="38" xfId="8" applyFont="1" applyBorder="1" applyAlignment="1">
      <alignment horizontal="left" vertical="center"/>
    </xf>
    <xf numFmtId="0" fontId="22" fillId="0" borderId="0" xfId="8" applyFont="1"/>
    <xf numFmtId="0" fontId="16" fillId="0" borderId="0" xfId="8" applyFont="1" applyAlignment="1">
      <alignment horizontal="center"/>
    </xf>
    <xf numFmtId="0" fontId="23" fillId="0" borderId="38" xfId="8" applyFont="1" applyBorder="1" applyAlignment="1">
      <alignment horizontal="left" vertical="center"/>
    </xf>
    <xf numFmtId="0" fontId="24" fillId="0" borderId="0" xfId="8" applyFont="1"/>
    <xf numFmtId="0" fontId="16" fillId="0" borderId="38" xfId="8" applyFont="1" applyBorder="1" applyAlignment="1">
      <alignment horizontal="right" vertical="center"/>
    </xf>
    <xf numFmtId="0" fontId="16" fillId="0" borderId="0" xfId="8" applyFont="1"/>
    <xf numFmtId="164" fontId="16" fillId="0" borderId="0" xfId="8" applyNumberFormat="1" applyFont="1" applyAlignment="1">
      <alignment horizontal="center"/>
    </xf>
    <xf numFmtId="0" fontId="25" fillId="0" borderId="0" xfId="8" applyFont="1"/>
    <xf numFmtId="0" fontId="26" fillId="0" borderId="0" xfId="8" applyFont="1" applyAlignment="1">
      <alignment horizontal="center"/>
    </xf>
    <xf numFmtId="0" fontId="27" fillId="0" borderId="0" xfId="8" applyFont="1"/>
    <xf numFmtId="0" fontId="28" fillId="0" borderId="0" xfId="8" applyFont="1"/>
    <xf numFmtId="0" fontId="29" fillId="3" borderId="0" xfId="8" applyFont="1" applyFill="1"/>
    <xf numFmtId="0" fontId="16" fillId="4" borderId="0" xfId="8" applyFont="1" applyFill="1"/>
    <xf numFmtId="0" fontId="4" fillId="4" borderId="0" xfId="8" applyFill="1"/>
    <xf numFmtId="0" fontId="30" fillId="4" borderId="0" xfId="10" applyFont="1" applyFill="1"/>
    <xf numFmtId="0" fontId="30" fillId="3" borderId="0" xfId="10" applyFont="1" applyFill="1"/>
    <xf numFmtId="0" fontId="30" fillId="3" borderId="0" xfId="8" applyFont="1" applyFill="1"/>
    <xf numFmtId="0" fontId="16" fillId="5" borderId="0" xfId="8" applyFont="1" applyFill="1"/>
    <xf numFmtId="0" fontId="30" fillId="5" borderId="0" xfId="10" applyFont="1" applyFill="1"/>
    <xf numFmtId="0" fontId="16" fillId="2" borderId="0" xfId="8" applyFont="1" applyFill="1"/>
    <xf numFmtId="0" fontId="16" fillId="5" borderId="0" xfId="8" applyFont="1" applyFill="1" applyAlignment="1">
      <alignment horizontal="left" vertical="top" wrapText="1"/>
    </xf>
    <xf numFmtId="0" fontId="16" fillId="5" borderId="0" xfId="8" applyFont="1" applyFill="1" applyAlignment="1">
      <alignment horizontal="left" vertical="top"/>
    </xf>
    <xf numFmtId="0" fontId="0" fillId="2" borderId="0" xfId="0" applyFill="1" applyAlignment="1">
      <alignment horizontal="center"/>
    </xf>
    <xf numFmtId="0" fontId="22" fillId="0" borderId="0" xfId="0" applyFont="1" applyAlignment="1">
      <alignment vertical="top" wrapText="1"/>
    </xf>
    <xf numFmtId="0" fontId="22" fillId="0" borderId="0" xfId="0" applyFont="1" applyAlignment="1">
      <alignment vertical="top"/>
    </xf>
    <xf numFmtId="0" fontId="0" fillId="6" borderId="0" xfId="0" applyFill="1" applyAlignment="1">
      <alignment horizontal="center"/>
    </xf>
    <xf numFmtId="0" fontId="0" fillId="6" borderId="0" xfId="0" applyFill="1"/>
    <xf numFmtId="0" fontId="4" fillId="6" borderId="0" xfId="8" applyFill="1"/>
    <xf numFmtId="0" fontId="0" fillId="6" borderId="32" xfId="0" applyFill="1" applyBorder="1"/>
    <xf numFmtId="0" fontId="22" fillId="6" borderId="0" xfId="0" applyFont="1" applyFill="1" applyAlignment="1">
      <alignment vertical="top"/>
    </xf>
    <xf numFmtId="0" fontId="15" fillId="6" borderId="0" xfId="0" applyFont="1" applyFill="1" applyAlignment="1">
      <alignment horizontal="center"/>
    </xf>
    <xf numFmtId="0" fontId="15" fillId="6" borderId="0" xfId="0" applyFont="1" applyFill="1"/>
    <xf numFmtId="0" fontId="22" fillId="6" borderId="0" xfId="0" applyFont="1" applyFill="1" applyAlignment="1">
      <alignment vertical="top" wrapText="1"/>
    </xf>
    <xf numFmtId="0" fontId="16" fillId="7" borderId="38" xfId="8" applyFont="1" applyFill="1" applyBorder="1" applyAlignment="1">
      <alignment horizontal="left" vertical="center"/>
    </xf>
    <xf numFmtId="0" fontId="16" fillId="7" borderId="0" xfId="8" applyFont="1" applyFill="1"/>
    <xf numFmtId="0" fontId="16" fillId="7" borderId="0" xfId="8" applyFont="1" applyFill="1" applyAlignment="1">
      <alignment horizontal="left" vertical="center"/>
    </xf>
    <xf numFmtId="0" fontId="22" fillId="0" borderId="31" xfId="0" applyFont="1" applyBorder="1" applyAlignment="1">
      <alignment vertical="top" wrapText="1"/>
    </xf>
    <xf numFmtId="0" fontId="22" fillId="7" borderId="0" xfId="8" applyFont="1" applyFill="1" applyAlignment="1">
      <alignment horizontal="center"/>
    </xf>
    <xf numFmtId="0" fontId="0" fillId="0" borderId="0" xfId="0" pivotButton="1"/>
    <xf numFmtId="0" fontId="1" fillId="8" borderId="41" xfId="0" applyFont="1" applyFill="1" applyBorder="1"/>
    <xf numFmtId="0" fontId="1" fillId="8" borderId="0" xfId="0" applyFont="1" applyFill="1"/>
    <xf numFmtId="0" fontId="32" fillId="0" borderId="0" xfId="12"/>
    <xf numFmtId="0" fontId="7" fillId="0" borderId="3" xfId="5" applyFont="1" applyBorder="1" applyAlignment="1">
      <alignment horizontal="left" vertical="center"/>
    </xf>
    <xf numFmtId="0" fontId="7" fillId="0" borderId="4" xfId="5" applyFont="1" applyBorder="1" applyAlignment="1">
      <alignment horizontal="left" vertical="center"/>
    </xf>
    <xf numFmtId="0" fontId="7" fillId="0" borderId="10" xfId="5" applyFont="1" applyBorder="1" applyAlignment="1">
      <alignment horizontal="left" vertical="center" wrapText="1"/>
    </xf>
    <xf numFmtId="0" fontId="7" fillId="0" borderId="8" xfId="5" applyFont="1" applyBorder="1" applyAlignment="1">
      <alignment horizontal="left" vertical="center" wrapText="1"/>
    </xf>
    <xf numFmtId="14" fontId="7" fillId="0" borderId="4" xfId="5" applyNumberFormat="1" applyFont="1" applyBorder="1" applyAlignment="1">
      <alignment horizontal="center" vertical="center"/>
    </xf>
    <xf numFmtId="0" fontId="7" fillId="0" borderId="3" xfId="5" applyFont="1" applyBorder="1" applyAlignment="1">
      <alignment horizontal="center" vertical="center"/>
    </xf>
    <xf numFmtId="0" fontId="7" fillId="0" borderId="4" xfId="5" applyFont="1" applyBorder="1" applyAlignment="1">
      <alignment horizontal="center" vertical="center"/>
    </xf>
    <xf numFmtId="0" fontId="7" fillId="0" borderId="12" xfId="5" applyFont="1" applyBorder="1" applyAlignment="1">
      <alignment horizontal="center" vertical="center" wrapText="1"/>
    </xf>
    <xf numFmtId="0" fontId="7" fillId="0" borderId="4" xfId="5" applyFont="1" applyBorder="1" applyAlignment="1">
      <alignment horizontal="center" vertical="center" wrapText="1"/>
    </xf>
    <xf numFmtId="0" fontId="1" fillId="0" borderId="16" xfId="0" applyFont="1" applyBorder="1" applyAlignment="1">
      <alignment horizontal="center" vertical="center" textRotation="90"/>
    </xf>
    <xf numFmtId="0" fontId="1" fillId="0" borderId="17" xfId="0" applyFont="1" applyBorder="1" applyAlignment="1">
      <alignment horizontal="center" vertical="center" textRotation="90"/>
    </xf>
    <xf numFmtId="0" fontId="1" fillId="0" borderId="18" xfId="0" applyFont="1" applyBorder="1" applyAlignment="1">
      <alignment horizontal="center" vertical="center" textRotation="90"/>
    </xf>
    <xf numFmtId="0" fontId="7" fillId="0" borderId="14" xfId="5" applyFont="1" applyBorder="1" applyAlignment="1">
      <alignment horizontal="center" vertical="center" wrapText="1"/>
    </xf>
    <xf numFmtId="0" fontId="7" fillId="0" borderId="11" xfId="5" applyFont="1" applyBorder="1" applyAlignment="1">
      <alignment horizontal="center" vertical="center" wrapText="1"/>
    </xf>
    <xf numFmtId="0" fontId="12" fillId="0" borderId="16" xfId="0" applyFont="1" applyBorder="1" applyAlignment="1">
      <alignment horizontal="center" vertical="center" textRotation="90"/>
    </xf>
    <xf numFmtId="0" fontId="12" fillId="0" borderId="17" xfId="0" applyFont="1" applyBorder="1" applyAlignment="1">
      <alignment horizontal="center" vertical="center" textRotation="90"/>
    </xf>
    <xf numFmtId="0" fontId="12" fillId="0" borderId="18" xfId="0" applyFont="1" applyBorder="1" applyAlignment="1">
      <alignment horizontal="center" vertical="center" textRotation="90"/>
    </xf>
    <xf numFmtId="0" fontId="14" fillId="0" borderId="0" xfId="0" applyFont="1" applyAlignment="1">
      <alignment horizontal="center"/>
    </xf>
    <xf numFmtId="0" fontId="10" fillId="0" borderId="0" xfId="0" applyFont="1" applyAlignment="1">
      <alignment horizontal="center"/>
    </xf>
    <xf numFmtId="0" fontId="20" fillId="0" borderId="31" xfId="0" applyFont="1" applyBorder="1" applyAlignment="1">
      <alignment horizontal="center" vertical="top" wrapText="1"/>
    </xf>
    <xf numFmtId="0" fontId="20" fillId="0" borderId="40" xfId="0" applyFont="1" applyBorder="1" applyAlignment="1">
      <alignment horizontal="center" vertical="top" wrapText="1"/>
    </xf>
    <xf numFmtId="0" fontId="20" fillId="0" borderId="30" xfId="0" applyFont="1" applyBorder="1" applyAlignment="1">
      <alignment horizontal="center" vertical="top" wrapText="1"/>
    </xf>
    <xf numFmtId="0" fontId="20" fillId="0" borderId="39" xfId="0" applyFont="1" applyBorder="1" applyAlignment="1">
      <alignment horizontal="center" vertical="top" wrapText="1"/>
    </xf>
    <xf numFmtId="0" fontId="20" fillId="0" borderId="0" xfId="0" applyFont="1" applyAlignment="1">
      <alignment horizontal="center" vertical="top" wrapText="1"/>
    </xf>
    <xf numFmtId="0" fontId="20" fillId="0" borderId="33" xfId="0" applyFont="1" applyBorder="1" applyAlignment="1">
      <alignment horizontal="center" vertical="top" wrapText="1"/>
    </xf>
  </cellXfs>
  <cellStyles count="13">
    <cellStyle name="Hyperlink" xfId="12" builtinId="8"/>
    <cellStyle name="Normal" xfId="0" builtinId="0"/>
    <cellStyle name="Normal 2" xfId="6" xr:uid="{C4B762F0-97B7-423E-98C9-E7DCD4367ECB}"/>
    <cellStyle name="Normal 2 2 2 2" xfId="10" xr:uid="{9C731C03-ACB1-4216-AF8E-E0555AC6FBE5}"/>
    <cellStyle name="Normal 3" xfId="2" xr:uid="{6C4D373F-DC14-434A-AF06-0AFCCEAA6C5E}"/>
    <cellStyle name="Normal 3 2" xfId="11" xr:uid="{E829D1CE-8EB4-447B-88D6-26BE26F915FC}"/>
    <cellStyle name="Normal 3 2 2 2" xfId="1" xr:uid="{D9985C5B-7758-4FB5-B1C1-C248575C5C2C}"/>
    <cellStyle name="Normal 3 2 2 5" xfId="7" xr:uid="{D3EBBD0E-FDC5-4389-88E9-29DAA4C5CFDD}"/>
    <cellStyle name="Normal 3 7" xfId="5" xr:uid="{76C290A2-D31C-4CD4-A1D4-F2E6CAE878FD}"/>
    <cellStyle name="Normal 4" xfId="3" xr:uid="{5CCF88B3-BFE4-4E2C-B7D8-7860BC52EE3F}"/>
    <cellStyle name="Normal 5" xfId="8" xr:uid="{FF87989B-24D7-46DC-9D08-4A2D74EDB5E1}"/>
    <cellStyle name="Normal 6" xfId="4" xr:uid="{24778FFC-123E-4391-A81D-EF55845AD82F}"/>
    <cellStyle name="Percent 2" xfId="9" xr:uid="{5CBEDB2F-C460-40F7-AFAC-0D95D35E2857}"/>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313055</xdr:colOff>
      <xdr:row>26</xdr:row>
      <xdr:rowOff>481853</xdr:rowOff>
    </xdr:from>
    <xdr:to>
      <xdr:col>16</xdr:col>
      <xdr:colOff>324971</xdr:colOff>
      <xdr:row>29</xdr:row>
      <xdr:rowOff>6856</xdr:rowOff>
    </xdr:to>
    <xdr:cxnSp macro="">
      <xdr:nvCxnSpPr>
        <xdr:cNvPr id="3" name="Straight Arrow Connector 2">
          <a:extLst>
            <a:ext uri="{FF2B5EF4-FFF2-40B4-BE49-F238E27FC236}">
              <a16:creationId xmlns:a16="http://schemas.microsoft.com/office/drawing/2014/main" id="{DC84BFAE-269F-0433-26CD-F6967B0DB488}"/>
            </a:ext>
          </a:extLst>
        </xdr:cNvPr>
        <xdr:cNvCxnSpPr/>
      </xdr:nvCxnSpPr>
      <xdr:spPr>
        <a:xfrm flipH="1">
          <a:off x="10084584" y="9659471"/>
          <a:ext cx="11916" cy="78006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84</xdr:row>
      <xdr:rowOff>0</xdr:rowOff>
    </xdr:from>
    <xdr:to>
      <xdr:col>19</xdr:col>
      <xdr:colOff>124680</xdr:colOff>
      <xdr:row>106</xdr:row>
      <xdr:rowOff>143509</xdr:rowOff>
    </xdr:to>
    <xdr:pic>
      <xdr:nvPicPr>
        <xdr:cNvPr id="5" name="Picture 4">
          <a:extLst>
            <a:ext uri="{FF2B5EF4-FFF2-40B4-BE49-F238E27FC236}">
              <a16:creationId xmlns:a16="http://schemas.microsoft.com/office/drawing/2014/main" id="{6DE76C4D-4DE3-66C1-5472-AA68A07337D0}"/>
            </a:ext>
          </a:extLst>
        </xdr:cNvPr>
        <xdr:cNvPicPr>
          <a:picLocks noChangeAspect="1"/>
        </xdr:cNvPicPr>
      </xdr:nvPicPr>
      <xdr:blipFill>
        <a:blip xmlns:r="http://schemas.openxmlformats.org/officeDocument/2006/relationships" r:embed="rId1"/>
        <a:stretch>
          <a:fillRect/>
        </a:stretch>
      </xdr:blipFill>
      <xdr:spPr>
        <a:xfrm>
          <a:off x="3914775" y="16983075"/>
          <a:ext cx="6134956" cy="4544059"/>
        </a:xfrm>
        <a:prstGeom prst="rect">
          <a:avLst/>
        </a:prstGeom>
      </xdr:spPr>
    </xdr:pic>
    <xdr:clientData/>
  </xdr:twoCellAnchor>
  <xdr:twoCellAnchor editAs="oneCell">
    <xdr:from>
      <xdr:col>9</xdr:col>
      <xdr:colOff>0</xdr:colOff>
      <xdr:row>58</xdr:row>
      <xdr:rowOff>0</xdr:rowOff>
    </xdr:from>
    <xdr:to>
      <xdr:col>20</xdr:col>
      <xdr:colOff>142874</xdr:colOff>
      <xdr:row>83</xdr:row>
      <xdr:rowOff>113651</xdr:rowOff>
    </xdr:to>
    <xdr:pic>
      <xdr:nvPicPr>
        <xdr:cNvPr id="7" name="Picture 6">
          <a:extLst>
            <a:ext uri="{FF2B5EF4-FFF2-40B4-BE49-F238E27FC236}">
              <a16:creationId xmlns:a16="http://schemas.microsoft.com/office/drawing/2014/main" id="{D123E5D3-55E4-FE0A-8F32-8AC60FFDEC89}"/>
            </a:ext>
          </a:extLst>
        </xdr:cNvPr>
        <xdr:cNvPicPr>
          <a:picLocks noChangeAspect="1"/>
        </xdr:cNvPicPr>
      </xdr:nvPicPr>
      <xdr:blipFill>
        <a:blip xmlns:r="http://schemas.openxmlformats.org/officeDocument/2006/relationships" r:embed="rId2"/>
        <a:stretch>
          <a:fillRect/>
        </a:stretch>
      </xdr:blipFill>
      <xdr:spPr>
        <a:xfrm>
          <a:off x="3914775" y="11811000"/>
          <a:ext cx="6743700" cy="51047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WSVT2023Randomization/WWSVT2023_CombinedRand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handle"/>
      <sheetName val="WC"/>
      <sheetName val="SC"/>
      <sheetName val="East"/>
      <sheetName val="IRR"/>
      <sheetName val="Entries"/>
    </sheetNames>
    <sheetDataSet>
      <sheetData sheetId="0" refreshError="1"/>
      <sheetData sheetId="1" refreshError="1"/>
      <sheetData sheetId="2" refreshError="1"/>
      <sheetData sheetId="3" refreshError="1"/>
      <sheetData sheetId="4" refreshError="1"/>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es-Diamond,Sally" refreshedDate="45930.654131365744" createdVersion="8" refreshedVersion="8" minRefreshableVersion="3" recordCount="160" xr:uid="{850C3A0B-28FA-41DE-8905-4F5495AD44C1}">
  <cacheSource type="worksheet">
    <worksheetSource ref="A2:R162" sheet="25 MIllet VT Rand"/>
  </cacheSource>
  <cacheFields count="18">
    <cacheField name="Source" numFmtId="0">
      <sharedItems/>
    </cacheField>
    <cacheField name="Name" numFmtId="0">
      <sharedItems count="20">
        <s v="DLG240"/>
        <s v="DLG317"/>
        <s v="DLG28"/>
        <s v="DLG-0116944"/>
        <s v="DLG-0128534"/>
        <s v="DLG-0103039"/>
        <s v="DLG-0102353"/>
        <s v="DLG-0127876"/>
        <s v="DLG-0100837"/>
        <s v="DLG-0111331"/>
        <s v="Earlybird"/>
        <s v="Sunrise"/>
        <s v="Horizon"/>
        <s v="Huntsman"/>
        <s v="PMx11.32-93"/>
        <s v="PMx11.31-101"/>
        <s v="HxM 10-29"/>
        <s v="PMx11.26-63"/>
        <s v="PMx11.35-32"/>
        <s v="PMx11.27-79"/>
      </sharedItems>
    </cacheField>
    <cacheField name="Entry_No_2025" numFmtId="0">
      <sharedItems containsSemiMixedTypes="0" containsString="0" containsNumber="1" containsInteger="1" minValue="1" maxValue="20"/>
    </cacheField>
    <cacheField name="Plot number" numFmtId="0">
      <sharedItems containsSemiMixedTypes="0" containsString="0" containsNumber="1" containsInteger="1" minValue="1" maxValue="160"/>
    </cacheField>
    <cacheField name="Rep" numFmtId="0">
      <sharedItems containsSemiMixedTypes="0" containsString="0" containsNumber="1" containsInteger="1" minValue="1" maxValue="8"/>
    </cacheField>
    <cacheField name="Range" numFmtId="0">
      <sharedItems containsSemiMixedTypes="0" containsString="0" containsNumber="1" containsInteger="1" minValue="1" maxValue="16"/>
    </cacheField>
    <cacheField name="Row" numFmtId="0">
      <sharedItems containsSemiMixedTypes="0" containsString="0" containsNumber="1" containsInteger="1" minValue="1" maxValue="10"/>
    </cacheField>
    <cacheField name="GAC Moisture" numFmtId="0">
      <sharedItems containsSemiMixedTypes="0" containsString="0" containsNumber="1" minValue="11.7" maxValue="14.9"/>
    </cacheField>
    <cacheField name="GAC Test Wgt" numFmtId="0">
      <sharedItems containsSemiMixedTypes="0" containsString="0" containsNumber="1" minValue="52.7" maxValue="57.9"/>
    </cacheField>
    <cacheField name="Plot Length (feet)" numFmtId="0">
      <sharedItems containsSemiMixedTypes="0" containsString="0" containsNumber="1" minValue="29.5" maxValue="29.5"/>
    </cacheField>
    <cacheField name="Plot Width (ft)" numFmtId="0">
      <sharedItems containsSemiMixedTypes="0" containsString="0" containsNumber="1" minValue="6.33" maxValue="6.33"/>
    </cacheField>
    <cacheField name="Plot Area" numFmtId="164">
      <sharedItems containsSemiMixedTypes="0" containsString="0" containsNumber="1" minValue="186.73500000000001" maxValue="186.73500000000001"/>
    </cacheField>
    <cacheField name="Harvest Sequence" numFmtId="22">
      <sharedItems containsSemiMixedTypes="0" containsNonDate="0" containsDate="1" containsString="0" minDate="2025-09-22T12:43:00" maxDate="2025-09-22T15:51:14"/>
    </cacheField>
    <cacheField name="PlotWeight (lb)" numFmtId="0">
      <sharedItems containsSemiMixedTypes="0" containsString="0" containsNumber="1" minValue="11.72" maxValue="24.29"/>
    </cacheField>
    <cacheField name="Moisture (%)" numFmtId="0">
      <sharedItems containsSemiMixedTypes="0" containsString="0" containsNumber="1" minValue="11.7" maxValue="19.8"/>
    </cacheField>
    <cacheField name="TW lb/bu" numFmtId="0">
      <sharedItems containsSemiMixedTypes="0" containsString="0" containsNumber="1" minValue="55.2" maxValue="59.1"/>
    </cacheField>
    <cacheField name="Yield_lba" numFmtId="1">
      <sharedItems containsSemiMixedTypes="0" containsString="0" containsNumber="1" minValue="2556.8598280986421" maxValue="5352.9504377861676"/>
    </cacheField>
    <cacheField name="Yield_bua" numFmtId="164">
      <sharedItems containsSemiMixedTypes="0" containsString="0" containsNumber="1" minValue="51.137196561972843" maxValue="107.059008755723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DLG"/>
    <x v="0"/>
    <n v="1"/>
    <n v="81"/>
    <n v="5"/>
    <n v="1"/>
    <n v="6"/>
    <n v="13.4"/>
    <n v="57.1"/>
    <n v="29.5"/>
    <n v="6.33"/>
    <n v="186.73500000000001"/>
    <d v="2025-09-22T14:29:12"/>
    <n v="21.66"/>
    <n v="18.399999999999999"/>
    <n v="58.7"/>
    <n v="4685.1994537713872"/>
    <n v="93.703989075427742"/>
  </r>
  <r>
    <s v="DLG"/>
    <x v="0"/>
    <n v="1"/>
    <n v="21"/>
    <n v="2"/>
    <n v="5"/>
    <n v="1"/>
    <n v="12.7"/>
    <n v="56"/>
    <n v="29.5"/>
    <n v="6.33"/>
    <n v="186.73500000000001"/>
    <d v="2025-09-22T12:47:46"/>
    <n v="16.809999999999999"/>
    <n v="16"/>
    <n v="58.4"/>
    <n v="3743.0572736766003"/>
    <n v="74.861145473532005"/>
  </r>
  <r>
    <s v="DLG"/>
    <x v="0"/>
    <n v="1"/>
    <n v="27"/>
    <n v="2"/>
    <n v="6"/>
    <n v="4"/>
    <n v="13.1"/>
    <n v="57.1"/>
    <n v="29.5"/>
    <n v="6.33"/>
    <n v="186.73500000000001"/>
    <d v="2025-09-22T13:49:34"/>
    <n v="23.09"/>
    <n v="15.6"/>
    <n v="58.2"/>
    <n v="5165.8983050847455"/>
    <n v="103.31796610169491"/>
  </r>
  <r>
    <s v="DLG"/>
    <x v="0"/>
    <n v="1"/>
    <n v="116"/>
    <n v="6"/>
    <n v="8"/>
    <n v="10"/>
    <n v="13.2"/>
    <n v="55.9"/>
    <n v="29.5"/>
    <n v="6.33"/>
    <n v="186.73500000000001"/>
    <d v="2025-09-22T15:44:04"/>
    <n v="22.24"/>
    <n v="16.899999999999999"/>
    <n v="58.7"/>
    <n v="4899.08844083862"/>
    <n v="97.981768816772401"/>
  </r>
  <r>
    <s v="DLG"/>
    <x v="0"/>
    <n v="1"/>
    <n v="122"/>
    <n v="7"/>
    <n v="9"/>
    <n v="7"/>
    <n v="13.7"/>
    <n v="57.5"/>
    <n v="29.5"/>
    <n v="6.33"/>
    <n v="186.73500000000001"/>
    <d v="2025-09-22T14:53:27"/>
    <n v="24.29"/>
    <n v="17.5"/>
    <n v="58.3"/>
    <n v="5312.035103221142"/>
    <n v="106.24070206442283"/>
  </r>
  <r>
    <s v="DLG"/>
    <x v="0"/>
    <n v="1"/>
    <n v="52"/>
    <n v="3"/>
    <n v="11"/>
    <n v="2"/>
    <n v="14"/>
    <n v="56.5"/>
    <n v="29.5"/>
    <n v="6.33"/>
    <n v="186.73500000000001"/>
    <d v="2025-09-22T13:12:16"/>
    <n v="21.96"/>
    <n v="17.5"/>
    <n v="58.3"/>
    <n v="4802.4821270784805"/>
    <n v="96.049642541569611"/>
  </r>
  <r>
    <s v="DLG"/>
    <x v="0"/>
    <n v="1"/>
    <n v="143"/>
    <n v="8"/>
    <n v="13"/>
    <n v="8"/>
    <n v="13.6"/>
    <n v="56.6"/>
    <n v="29.5"/>
    <n v="6.33"/>
    <n v="186.73500000000001"/>
    <d v="2025-09-22T15:18:24"/>
    <n v="22.84"/>
    <n v="17.3"/>
    <n v="58.5"/>
    <n v="5007.0402441963206"/>
    <n v="100.14080488392641"/>
  </r>
  <r>
    <s v="DLG"/>
    <x v="0"/>
    <n v="1"/>
    <n v="73"/>
    <n v="4"/>
    <n v="15"/>
    <n v="3"/>
    <n v="13.1"/>
    <n v="55.1"/>
    <n v="29.5"/>
    <n v="6.33"/>
    <n v="186.73500000000001"/>
    <d v="2025-09-22T13:37:30"/>
    <n v="19.47"/>
    <n v="15.6"/>
    <n v="57.5"/>
    <n v="4356"/>
    <n v="87.12"/>
  </r>
  <r>
    <s v="DLG"/>
    <x v="1"/>
    <n v="2"/>
    <n v="84"/>
    <n v="5"/>
    <n v="1"/>
    <n v="9"/>
    <n v="12"/>
    <n v="56.5"/>
    <n v="29.5"/>
    <n v="6.33"/>
    <n v="186.73500000000001"/>
    <d v="2025-09-22T15:36:16"/>
    <n v="17.809999999999999"/>
    <n v="13.7"/>
    <n v="57.7"/>
    <n v="4074.3111093260491"/>
    <n v="81.486222186520976"/>
  </r>
  <r>
    <s v="DLG"/>
    <x v="1"/>
    <n v="2"/>
    <n v="16"/>
    <n v="1"/>
    <n v="4"/>
    <n v="5"/>
    <n v="12.4"/>
    <n v="56"/>
    <n v="29.5"/>
    <n v="6.33"/>
    <n v="186.73500000000001"/>
    <d v="2025-09-22T14:02:32"/>
    <n v="21.02"/>
    <n v="14.1"/>
    <n v="57.6"/>
    <n v="4786.3598682625106"/>
    <n v="95.72719736525022"/>
  </r>
  <r>
    <s v="DLG"/>
    <x v="1"/>
    <n v="2"/>
    <n v="101"/>
    <n v="6"/>
    <n v="5"/>
    <n v="6"/>
    <n v="12.4"/>
    <n v="55.2"/>
    <n v="29.5"/>
    <n v="6.33"/>
    <n v="186.73500000000001"/>
    <d v="2025-09-22T14:34:29"/>
    <n v="20.010000000000002"/>
    <n v="13.9"/>
    <n v="56.8"/>
    <n v="4566.9863442846818"/>
    <n v="91.339726885693636"/>
  </r>
  <r>
    <s v="DLG"/>
    <x v="1"/>
    <n v="2"/>
    <n v="34"/>
    <n v="2"/>
    <n v="7"/>
    <n v="4"/>
    <n v="12.7"/>
    <n v="55.5"/>
    <n v="29.5"/>
    <n v="6.33"/>
    <n v="186.73500000000001"/>
    <d v="2025-09-22T13:48:37"/>
    <n v="19.84"/>
    <n v="13.9"/>
    <n v="57.7"/>
    <n v="4528.1863603502279"/>
    <n v="90.563727207004561"/>
  </r>
  <r>
    <s v="DLG"/>
    <x v="1"/>
    <n v="2"/>
    <n v="50"/>
    <n v="3"/>
    <n v="10"/>
    <n v="1"/>
    <n v="13.5"/>
    <n v="55.8"/>
    <n v="29.5"/>
    <n v="6.33"/>
    <n v="186.73500000000001"/>
    <d v="2025-09-22T12:59:01"/>
    <n v="13.79"/>
    <n v="17.7"/>
    <n v="57.6"/>
    <n v="3008.455377942003"/>
    <n v="60.169107558840061"/>
  </r>
  <r>
    <s v="DLG"/>
    <x v="1"/>
    <n v="2"/>
    <n v="135"/>
    <n v="7"/>
    <n v="11"/>
    <n v="10"/>
    <n v="12.6"/>
    <n v="56.4"/>
    <n v="29.5"/>
    <n v="6.33"/>
    <n v="186.73500000000001"/>
    <d v="2025-09-22T15:46:49"/>
    <n v="20.21"/>
    <n v="15"/>
    <n v="58"/>
    <n v="4553.7031086834286"/>
    <n v="91.074062173668565"/>
  </r>
  <r>
    <s v="DLG"/>
    <x v="1"/>
    <n v="2"/>
    <n v="149"/>
    <n v="8"/>
    <n v="14"/>
    <n v="7"/>
    <n v="12.7"/>
    <n v="56.2"/>
    <n v="29.5"/>
    <n v="6.33"/>
    <n v="186.73500000000001"/>
    <d v="2025-09-22T14:48:57"/>
    <n v="20.440000000000001"/>
    <n v="14.1"/>
    <n v="57.9"/>
    <n v="4654.2909470640216"/>
    <n v="93.085818941280436"/>
  </r>
  <r>
    <s v="DLG"/>
    <x v="1"/>
    <n v="2"/>
    <n v="78"/>
    <n v="4"/>
    <n v="16"/>
    <n v="3"/>
    <n v="13.1"/>
    <n v="54.7"/>
    <n v="29.5"/>
    <n v="6.33"/>
    <n v="186.73500000000001"/>
    <d v="2025-09-22T13:38:22"/>
    <n v="17.73"/>
    <n v="16"/>
    <n v="56.2"/>
    <n v="3947.9122821110127"/>
    <n v="78.958245642220248"/>
  </r>
  <r>
    <s v="DLG"/>
    <x v="2"/>
    <n v="3"/>
    <n v="82"/>
    <n v="5"/>
    <n v="1"/>
    <n v="7"/>
    <n v="13.7"/>
    <n v="56.9"/>
    <n v="29.5"/>
    <n v="6.33"/>
    <n v="186.73500000000001"/>
    <d v="2025-09-22T15:00:41"/>
    <n v="20.23"/>
    <n v="15"/>
    <n v="58.5"/>
    <n v="4558.2094947385331"/>
    <n v="91.164189894770658"/>
  </r>
  <r>
    <s v="DLG"/>
    <x v="2"/>
    <n v="3"/>
    <n v="17"/>
    <n v="1"/>
    <n v="4"/>
    <n v="4"/>
    <n v="12.8"/>
    <n v="56.4"/>
    <n v="29.5"/>
    <n v="6.33"/>
    <n v="186.73500000000001"/>
    <d v="2025-09-22T13:51:39"/>
    <n v="21.75"/>
    <n v="14.7"/>
    <n v="58.2"/>
    <n v="4917.9914049321224"/>
    <n v="98.359828098642453"/>
  </r>
  <r>
    <s v="DLG"/>
    <x v="2"/>
    <n v="3"/>
    <n v="104"/>
    <n v="6"/>
    <n v="5"/>
    <n v="9"/>
    <n v="13"/>
    <n v="57.9"/>
    <n v="29.5"/>
    <n v="6.33"/>
    <n v="186.73500000000001"/>
    <d v="2025-09-22T15:32:43"/>
    <n v="23.17"/>
    <n v="14.8"/>
    <n v="58.2"/>
    <n v="5232.9321230620935"/>
    <n v="104.65864246124187"/>
  </r>
  <r>
    <s v="DLG"/>
    <x v="2"/>
    <n v="3"/>
    <n v="31"/>
    <n v="2"/>
    <n v="7"/>
    <n v="1"/>
    <n v="13.9"/>
    <n v="57.4"/>
    <n v="29.5"/>
    <n v="6.33"/>
    <n v="186.73500000000001"/>
    <d v="2025-09-22T12:55:46"/>
    <n v="19.7"/>
    <n v="18.600000000000001"/>
    <n v="58.9"/>
    <n v="4250.7944413205878"/>
    <n v="85.015888826411754"/>
  </r>
  <r>
    <s v="DLG"/>
    <x v="2"/>
    <n v="3"/>
    <n v="125"/>
    <n v="7"/>
    <n v="9"/>
    <n v="10"/>
    <n v="13.9"/>
    <n v="56.5"/>
    <n v="29.5"/>
    <n v="6.33"/>
    <n v="186.73500000000001"/>
    <d v="2025-09-22T15:45:05"/>
    <n v="22.85"/>
    <n v="17.7"/>
    <n v="58.5"/>
    <n v="4985.0040163868589"/>
    <n v="99.700080327737183"/>
  </r>
  <r>
    <s v="DLG"/>
    <x v="2"/>
    <n v="3"/>
    <n v="56"/>
    <n v="3"/>
    <n v="12"/>
    <n v="5"/>
    <n v="13"/>
    <n v="57.9"/>
    <n v="29.5"/>
    <n v="6.33"/>
    <n v="186.73500000000001"/>
    <d v="2025-09-22T14:11:56"/>
    <n v="23.3"/>
    <n v="17.5"/>
    <n v="58.9"/>
    <n v="5095.529761426621"/>
    <n v="101.91059522853242"/>
  </r>
  <r>
    <s v="DLG"/>
    <x v="2"/>
    <n v="3"/>
    <n v="141"/>
    <n v="8"/>
    <n v="13"/>
    <n v="6"/>
    <n v="13.1"/>
    <n v="57.2"/>
    <n v="29.5"/>
    <n v="6.33"/>
    <n v="186.73500000000001"/>
    <d v="2025-09-22T14:43:08"/>
    <n v="22.92"/>
    <n v="17.2"/>
    <n v="59.1"/>
    <n v="5030.6537071250705"/>
    <n v="100.6130741425014"/>
  </r>
  <r>
    <s v="DLG"/>
    <x v="2"/>
    <n v="3"/>
    <n v="79"/>
    <n v="4"/>
    <n v="16"/>
    <n v="2"/>
    <n v="14.9"/>
    <n v="55.2"/>
    <n v="29.5"/>
    <n v="6.33"/>
    <n v="186.73500000000001"/>
    <d v="2025-09-22T13:06:55"/>
    <n v="17.53"/>
    <n v="17"/>
    <n v="57.6"/>
    <n v="3856.909791951161"/>
    <n v="77.138195839023226"/>
  </r>
  <r>
    <s v="DLG"/>
    <x v="3"/>
    <n v="4"/>
    <n v="9"/>
    <n v="1"/>
    <n v="2"/>
    <n v="2"/>
    <n v="12.9"/>
    <n v="55.9"/>
    <n v="29.5"/>
    <n v="6.33"/>
    <n v="186.73500000000001"/>
    <d v="2025-09-22T13:21:19"/>
    <n v="21.41"/>
    <n v="13.5"/>
    <n v="57.2"/>
    <n v="4909.2172062013005"/>
    <n v="98.184344124026012"/>
  </r>
  <r>
    <s v="DLG"/>
    <x v="3"/>
    <n v="4"/>
    <n v="97"/>
    <n v="5"/>
    <n v="4"/>
    <n v="9"/>
    <n v="12.8"/>
    <n v="56.7"/>
    <n v="29.5"/>
    <n v="6.33"/>
    <n v="186.73500000000001"/>
    <d v="2025-09-22T15:33:37"/>
    <n v="23.17"/>
    <n v="15.7"/>
    <n v="57.3"/>
    <n v="5177.6546710579159"/>
    <n v="103.55309342115832"/>
  </r>
  <r>
    <s v="DLG"/>
    <x v="3"/>
    <n v="4"/>
    <n v="23"/>
    <n v="2"/>
    <n v="5"/>
    <n v="3"/>
    <n v="12.8"/>
    <n v="56.2"/>
    <n v="29.5"/>
    <n v="6.33"/>
    <n v="186.73500000000001"/>
    <d v="2025-09-22T13:27:52"/>
    <n v="22.55"/>
    <n v="15"/>
    <n v="57.4"/>
    <n v="5080.9502771306934"/>
    <n v="101.61900554261386"/>
  </r>
  <r>
    <s v="DLG"/>
    <x v="3"/>
    <n v="4"/>
    <n v="110"/>
    <n v="6"/>
    <n v="6"/>
    <n v="6"/>
    <n v="12.8"/>
    <n v="56.7"/>
    <n v="29.5"/>
    <n v="6.33"/>
    <n v="186.73500000000001"/>
    <d v="2025-09-22T14:35:26"/>
    <n v="23.32"/>
    <n v="14.3"/>
    <n v="57.6"/>
    <n v="5297.7180496425408"/>
    <n v="105.95436099285081"/>
  </r>
  <r>
    <s v="DLG"/>
    <x v="3"/>
    <n v="4"/>
    <n v="45"/>
    <n v="3"/>
    <n v="9"/>
    <n v="5"/>
    <n v="12.8"/>
    <n v="56"/>
    <n v="29.5"/>
    <n v="6.33"/>
    <n v="186.73500000000001"/>
    <d v="2025-09-22T14:09:07"/>
    <n v="20.75"/>
    <n v="15.1"/>
    <n v="57.7"/>
    <n v="4669.8750903687051"/>
    <n v="93.397501807374098"/>
  </r>
  <r>
    <s v="DLG"/>
    <x v="3"/>
    <n v="4"/>
    <n v="132"/>
    <n v="7"/>
    <n v="11"/>
    <n v="7"/>
    <n v="13.1"/>
    <n v="55.4"/>
    <n v="29.5"/>
    <n v="6.33"/>
    <n v="186.73500000000001"/>
    <d v="2025-09-22T14:51:38"/>
    <n v="21.07"/>
    <n v="15.6"/>
    <n v="58"/>
    <n v="4713.9661016949149"/>
    <n v="94.279322033898296"/>
  </r>
  <r>
    <s v="DLG"/>
    <x v="3"/>
    <n v="4"/>
    <n v="64"/>
    <n v="4"/>
    <n v="13"/>
    <n v="4"/>
    <n v="13.1"/>
    <n v="56.5"/>
    <n v="29.5"/>
    <n v="6.33"/>
    <n v="186.73500000000001"/>
    <d v="2025-09-22T13:42:54"/>
    <n v="22.54"/>
    <n v="16.3"/>
    <n v="58"/>
    <n v="5001.022893405092"/>
    <n v="100.02045786810184"/>
  </r>
  <r>
    <s v="DLG"/>
    <x v="3"/>
    <n v="4"/>
    <n v="158"/>
    <n v="8"/>
    <n v="16"/>
    <n v="8"/>
    <n v="12.9"/>
    <n v="55.6"/>
    <n v="29.5"/>
    <n v="6.33"/>
    <n v="186.73500000000001"/>
    <d v="2025-09-22T15:21:35"/>
    <n v="19.64"/>
    <n v="15.5"/>
    <n v="57.3"/>
    <n v="4399.2400996063934"/>
    <n v="87.984801992127871"/>
  </r>
  <r>
    <s v="DLG"/>
    <x v="4"/>
    <n v="5"/>
    <n v="7"/>
    <n v="1"/>
    <n v="2"/>
    <n v="4"/>
    <n v="13.3"/>
    <n v="55.7"/>
    <n v="29.5"/>
    <n v="6.33"/>
    <n v="186.73500000000001"/>
    <d v="2025-09-22T13:56:58"/>
    <n v="20.58"/>
    <n v="15.9"/>
    <n v="57.6"/>
    <n v="4587.972849224836"/>
    <n v="91.759456984496722"/>
  </r>
  <r>
    <s v="DLG"/>
    <x v="4"/>
    <n v="5"/>
    <n v="98"/>
    <n v="5"/>
    <n v="4"/>
    <n v="8"/>
    <n v="13.1"/>
    <n v="55.4"/>
    <n v="29.5"/>
    <n v="6.33"/>
    <n v="186.73500000000001"/>
    <d v="2025-09-22T15:08:11"/>
    <n v="19.91"/>
    <n v="16.399999999999999"/>
    <n v="58"/>
    <n v="4412.2184914450954"/>
    <n v="88.24436982890191"/>
  </r>
  <r>
    <s v="DLG"/>
    <x v="4"/>
    <n v="5"/>
    <n v="29"/>
    <n v="2"/>
    <n v="6"/>
    <n v="2"/>
    <n v="13.4"/>
    <n v="55.7"/>
    <n v="29.5"/>
    <n v="6.33"/>
    <n v="186.73500000000001"/>
    <d v="2025-09-22T13:17:01"/>
    <n v="21.25"/>
    <n v="15.9"/>
    <n v="58.2"/>
    <n v="4737.3383404289498"/>
    <n v="94.746766808578997"/>
  </r>
  <r>
    <s v="DLG"/>
    <x v="4"/>
    <n v="5"/>
    <n v="112"/>
    <n v="6"/>
    <n v="7"/>
    <n v="7"/>
    <n v="13.6"/>
    <n v="56.7"/>
    <n v="29.5"/>
    <n v="6.33"/>
    <n v="186.73500000000001"/>
    <d v="2025-09-22T14:55:25"/>
    <n v="19.43"/>
    <n v="16.899999999999999"/>
    <n v="58.3"/>
    <n v="4280.0939031247481"/>
    <n v="85.601878062494961"/>
  </r>
  <r>
    <s v="DLG"/>
    <x v="4"/>
    <n v="5"/>
    <n v="121"/>
    <n v="7"/>
    <n v="9"/>
    <n v="6"/>
    <n v="14"/>
    <n v="56.2"/>
    <n v="29.5"/>
    <n v="6.33"/>
    <n v="186.73500000000001"/>
    <d v="2025-09-22T14:38:24"/>
    <n v="23.27"/>
    <n v="19.399999999999999"/>
    <n v="58.4"/>
    <n v="4971.7684954614824"/>
    <n v="99.435369909229649"/>
  </r>
  <r>
    <s v="DLG"/>
    <x v="4"/>
    <n v="5"/>
    <n v="58"/>
    <n v="3"/>
    <n v="12"/>
    <n v="3"/>
    <n v="13.3"/>
    <n v="56.2"/>
    <n v="29.5"/>
    <n v="6.33"/>
    <n v="186.73500000000001"/>
    <d v="2025-09-22T13:34:39"/>
    <n v="22.39"/>
    <n v="17.399999999999999"/>
    <n v="58"/>
    <n v="4902.4549763033174"/>
    <n v="98.049099526066342"/>
  </r>
  <r>
    <s v="DLG"/>
    <x v="4"/>
    <n v="5"/>
    <n v="145"/>
    <n v="8"/>
    <n v="13"/>
    <n v="10"/>
    <n v="13.2"/>
    <n v="56.7"/>
    <n v="29.5"/>
    <n v="6.33"/>
    <n v="186.73500000000001"/>
    <d v="2025-09-22T15:48:32"/>
    <n v="21.74"/>
    <n v="18.2"/>
    <n v="58.3"/>
    <n v="4714.0297212627511"/>
    <n v="94.280594425255018"/>
  </r>
  <r>
    <s v="DLG"/>
    <x v="4"/>
    <n v="5"/>
    <n v="75"/>
    <n v="4"/>
    <n v="15"/>
    <n v="5"/>
    <n v="13"/>
    <n v="56.4"/>
    <n v="29.5"/>
    <n v="6.33"/>
    <n v="186.73500000000001"/>
    <d v="2025-09-22T14:14:45"/>
    <n v="22.42"/>
    <n v="17.100000000000001"/>
    <n v="58"/>
    <n v="4926.8530805687205"/>
    <n v="98.537061611374412"/>
  </r>
  <r>
    <s v="DLG"/>
    <x v="5"/>
    <n v="6"/>
    <n v="6"/>
    <n v="1"/>
    <n v="2"/>
    <n v="5"/>
    <n v="13"/>
    <n v="56.7"/>
    <n v="29.5"/>
    <n v="6.33"/>
    <n v="186.73500000000001"/>
    <d v="2025-09-22T14:00:38"/>
    <n v="21.42"/>
    <n v="17.2"/>
    <n v="58.4"/>
    <n v="4701.4224435697643"/>
    <n v="94.028448871395284"/>
  </r>
  <r>
    <s v="DLG"/>
    <x v="5"/>
    <n v="6"/>
    <n v="87"/>
    <n v="5"/>
    <n v="2"/>
    <n v="9"/>
    <n v="12.2"/>
    <n v="55.9"/>
    <n v="29.5"/>
    <n v="6.33"/>
    <n v="186.73500000000001"/>
    <d v="2025-09-22T15:35:25"/>
    <n v="19.82"/>
    <n v="13.4"/>
    <n v="58.2"/>
    <n v="4549.891236243875"/>
    <n v="90.997824724877503"/>
  </r>
  <r>
    <s v="DLG"/>
    <x v="5"/>
    <n v="6"/>
    <n v="115"/>
    <n v="6"/>
    <n v="7"/>
    <n v="10"/>
    <n v="12.5"/>
    <n v="56.5"/>
    <n v="29.5"/>
    <n v="6.33"/>
    <n v="186.73500000000001"/>
    <d v="2025-09-22T15:43:14"/>
    <n v="20.13"/>
    <n v="14.9"/>
    <n v="58.4"/>
    <n v="4541.0136557153173"/>
    <n v="90.820273114306346"/>
  </r>
  <r>
    <s v="DLG"/>
    <x v="5"/>
    <n v="6"/>
    <n v="36"/>
    <n v="2"/>
    <n v="8"/>
    <n v="5"/>
    <n v="12.4"/>
    <n v="56.6"/>
    <n v="29.5"/>
    <n v="6.33"/>
    <n v="186.73500000000001"/>
    <d v="2025-09-22T14:07:59"/>
    <n v="19.809999999999999"/>
    <n v="14.5"/>
    <n v="57.8"/>
    <n v="4489.831713390633"/>
    <n v="89.796634267812664"/>
  </r>
  <r>
    <s v="DLG"/>
    <x v="5"/>
    <n v="6"/>
    <n v="44"/>
    <n v="3"/>
    <n v="9"/>
    <n v="4"/>
    <n v="13.1"/>
    <n v="56.5"/>
    <n v="29.5"/>
    <n v="6.33"/>
    <n v="186.73500000000001"/>
    <d v="2025-09-22T13:46:38"/>
    <n v="23.29"/>
    <n v="14.2"/>
    <n v="57.8"/>
    <n v="5297.0765523335203"/>
    <n v="105.94153104667041"/>
  </r>
  <r>
    <s v="DLG"/>
    <x v="5"/>
    <n v="6"/>
    <n v="128"/>
    <n v="7"/>
    <n v="10"/>
    <n v="8"/>
    <n v="12.7"/>
    <n v="56.6"/>
    <n v="29.5"/>
    <n v="6.33"/>
    <n v="186.73500000000001"/>
    <d v="2025-09-22T15:14:21"/>
    <n v="17.32"/>
    <n v="16.5"/>
    <n v="57.8"/>
    <n v="3833.6621415374725"/>
    <n v="76.673242830749444"/>
  </r>
  <r>
    <s v="DLG"/>
    <x v="5"/>
    <n v="6"/>
    <n v="72"/>
    <n v="4"/>
    <n v="15"/>
    <n v="2"/>
    <n v="14.1"/>
    <n v="53.8"/>
    <n v="29.5"/>
    <n v="6.33"/>
    <n v="186.73500000000001"/>
    <d v="2025-09-22T13:08:18"/>
    <n v="15.88"/>
    <n v="15.6"/>
    <n v="56.9"/>
    <n v="3552.8135593220336"/>
    <n v="71.056271186440668"/>
  </r>
  <r>
    <s v="DLG"/>
    <x v="5"/>
    <n v="6"/>
    <n v="160"/>
    <n v="8"/>
    <n v="16"/>
    <n v="6"/>
    <n v="12.7"/>
    <n v="56.5"/>
    <n v="29.5"/>
    <n v="6.33"/>
    <n v="186.73500000000001"/>
    <d v="2025-09-22T14:45:56"/>
    <n v="17.54"/>
    <n v="14.6"/>
    <n v="58.3"/>
    <n v="3970.6986906578841"/>
    <n v="79.413973813157682"/>
  </r>
  <r>
    <s v="DLG"/>
    <x v="6"/>
    <n v="7"/>
    <n v="90"/>
    <n v="5"/>
    <n v="2"/>
    <n v="6"/>
    <n v="12.4"/>
    <n v="55.5"/>
    <n v="29.5"/>
    <n v="6.33"/>
    <n v="186.73500000000001"/>
    <d v="2025-09-22T14:30:13"/>
    <n v="18.760000000000002"/>
    <n v="13.6"/>
    <n v="57.5"/>
    <n v="4296.6111334243715"/>
    <n v="85.932222668487427"/>
  </r>
  <r>
    <s v="DLG"/>
    <x v="6"/>
    <n v="7"/>
    <n v="12"/>
    <n v="1"/>
    <n v="3"/>
    <n v="2"/>
    <n v="12.6"/>
    <n v="55.3"/>
    <n v="29.5"/>
    <n v="6.33"/>
    <n v="186.73500000000001"/>
    <d v="2025-09-22T13:20:31"/>
    <n v="20.98"/>
    <n v="13.4"/>
    <n v="57.3"/>
    <n v="4816.1815406859987"/>
    <n v="96.323630813719973"/>
  </r>
  <r>
    <s v="DLG"/>
    <x v="6"/>
    <n v="7"/>
    <n v="106"/>
    <n v="6"/>
    <n v="6"/>
    <n v="10"/>
    <n v="12"/>
    <n v="55.6"/>
    <n v="29.5"/>
    <n v="6.33"/>
    <n v="186.73500000000001"/>
    <d v="2025-09-22T15:42:24"/>
    <n v="19.47"/>
    <n v="14.1"/>
    <n v="57.7"/>
    <n v="4433.4170616113743"/>
    <n v="88.66834123222749"/>
  </r>
  <r>
    <s v="DLG"/>
    <x v="6"/>
    <n v="7"/>
    <n v="37"/>
    <n v="2"/>
    <n v="8"/>
    <n v="4"/>
    <n v="12.7"/>
    <n v="55.6"/>
    <n v="29.5"/>
    <n v="6.33"/>
    <n v="186.73500000000001"/>
    <d v="2025-09-22T13:47:36"/>
    <n v="20.21"/>
    <n v="13.4"/>
    <n v="56.6"/>
    <n v="4639.4198730821745"/>
    <n v="92.788397461643484"/>
  </r>
  <r>
    <s v="DLG"/>
    <x v="6"/>
    <n v="7"/>
    <n v="43"/>
    <n v="3"/>
    <n v="9"/>
    <n v="3"/>
    <n v="12.3"/>
    <n v="55.8"/>
    <n v="29.5"/>
    <n v="6.33"/>
    <n v="186.73500000000001"/>
    <d v="2025-09-22T13:31:49"/>
    <n v="20.78"/>
    <n v="14.3"/>
    <n v="57.3"/>
    <n v="4720.6938709936539"/>
    <n v="94.413877419873074"/>
  </r>
  <r>
    <s v="DLG"/>
    <x v="6"/>
    <n v="7"/>
    <n v="139"/>
    <n v="7"/>
    <n v="12"/>
    <n v="7"/>
    <n v="12.4"/>
    <n v="56.1"/>
    <n v="29.5"/>
    <n v="6.33"/>
    <n v="186.73500000000001"/>
    <d v="2025-09-22T14:50:41"/>
    <n v="19.329999999999998"/>
    <n v="13.7"/>
    <n v="57.8"/>
    <n v="4422.0344605992441"/>
    <n v="88.440689211984875"/>
  </r>
  <r>
    <s v="DLG"/>
    <x v="6"/>
    <n v="7"/>
    <n v="61"/>
    <n v="4"/>
    <n v="13"/>
    <n v="1"/>
    <n v="13.2"/>
    <n v="55.6"/>
    <n v="29.5"/>
    <n v="6.33"/>
    <n v="186.73500000000001"/>
    <d v="2025-09-22T13:02:13"/>
    <n v="14.51"/>
    <n v="16.8"/>
    <n v="56.8"/>
    <n v="3200.1490882801827"/>
    <n v="64.00298176560365"/>
  </r>
  <r>
    <s v="DLG"/>
    <x v="6"/>
    <n v="7"/>
    <n v="153"/>
    <n v="8"/>
    <n v="15"/>
    <n v="8"/>
    <n v="12.3"/>
    <n v="56.3"/>
    <n v="29.5"/>
    <n v="6.33"/>
    <n v="186.73500000000001"/>
    <d v="2025-09-22T15:20:21"/>
    <n v="21.02"/>
    <n v="13.2"/>
    <n v="57.4"/>
    <n v="4836.507992609847"/>
    <n v="96.730159852196934"/>
  </r>
  <r>
    <s v="DLG"/>
    <x v="7"/>
    <n v="8"/>
    <n v="85"/>
    <n v="5"/>
    <n v="1"/>
    <n v="10"/>
    <n v="12.1"/>
    <n v="56"/>
    <n v="29.5"/>
    <n v="6.33"/>
    <n v="186.73500000000001"/>
    <d v="2025-09-22T15:37:37"/>
    <n v="19.43"/>
    <n v="14.1"/>
    <n v="58"/>
    <n v="4424.3088601494092"/>
    <n v="88.486177202988188"/>
  </r>
  <r>
    <s v="DLG"/>
    <x v="7"/>
    <n v="8"/>
    <n v="14"/>
    <n v="1"/>
    <n v="3"/>
    <n v="4"/>
    <n v="12.9"/>
    <n v="55.8"/>
    <n v="29.5"/>
    <n v="6.33"/>
    <n v="186.73500000000001"/>
    <d v="2025-09-22T13:56:03"/>
    <n v="19.59"/>
    <n v="15.6"/>
    <n v="58"/>
    <n v="4382.8474576271183"/>
    <n v="87.656949152542367"/>
  </r>
  <r>
    <s v="DLG"/>
    <x v="7"/>
    <n v="8"/>
    <n v="103"/>
    <n v="6"/>
    <n v="5"/>
    <n v="8"/>
    <n v="12.4"/>
    <n v="56.8"/>
    <n v="29.5"/>
    <n v="6.33"/>
    <n v="186.73500000000001"/>
    <d v="2025-09-22T15:09:04"/>
    <n v="19.22"/>
    <n v="13.8"/>
    <n v="58"/>
    <n v="4391.7754036468796"/>
    <n v="87.835508072937586"/>
  </r>
  <r>
    <s v="DLG"/>
    <x v="7"/>
    <n v="8"/>
    <n v="33"/>
    <n v="2"/>
    <n v="7"/>
    <n v="3"/>
    <n v="12.4"/>
    <n v="56.1"/>
    <n v="29.5"/>
    <n v="6.33"/>
    <n v="186.73500000000001"/>
    <d v="2025-09-22T13:29:47"/>
    <n v="19.89"/>
    <n v="14.8"/>
    <n v="57.9"/>
    <n v="4492.1458751706959"/>
    <n v="89.842917503413915"/>
  </r>
  <r>
    <s v="DLG"/>
    <x v="7"/>
    <n v="8"/>
    <n v="41"/>
    <n v="3"/>
    <n v="9"/>
    <n v="1"/>
    <n v="12.9"/>
    <n v="56.5"/>
    <n v="29.5"/>
    <n v="6.33"/>
    <n v="186.73500000000001"/>
    <d v="2025-09-22T12:57:54"/>
    <n v="16.53"/>
    <n v="16.3"/>
    <n v="58.3"/>
    <n v="3667.5647039922887"/>
    <n v="73.351294079845772"/>
  </r>
  <r>
    <s v="DLG"/>
    <x v="7"/>
    <n v="8"/>
    <n v="127"/>
    <n v="7"/>
    <n v="10"/>
    <n v="9"/>
    <n v="12.7"/>
    <n v="55.8"/>
    <n v="29.5"/>
    <n v="6.33"/>
    <n v="186.73500000000001"/>
    <d v="2025-09-22T15:27:43"/>
    <n v="18.920000000000002"/>
    <n v="15.1"/>
    <n v="57.9"/>
    <n v="4258.0258655313692"/>
    <n v="85.160517310627384"/>
  </r>
  <r>
    <s v="DLG"/>
    <x v="7"/>
    <n v="8"/>
    <n v="152"/>
    <n v="8"/>
    <n v="15"/>
    <n v="7"/>
    <n v="12.5"/>
    <n v="55.6"/>
    <n v="29.5"/>
    <n v="6.33"/>
    <n v="186.73500000000001"/>
    <d v="2025-09-22T14:48:02"/>
    <n v="17.760000000000002"/>
    <n v="14.1"/>
    <n v="57.6"/>
    <n v="4044.0414491123788"/>
    <n v="80.880828982247579"/>
  </r>
  <r>
    <s v="DLG"/>
    <x v="7"/>
    <n v="8"/>
    <n v="76"/>
    <n v="4"/>
    <n v="16"/>
    <n v="5"/>
    <n v="12.2"/>
    <n v="56.6"/>
    <n v="29.5"/>
    <n v="6.33"/>
    <n v="186.73500000000001"/>
    <d v="2025-09-22T14:15:34"/>
    <n v="19.28"/>
    <n v="14.2"/>
    <n v="58.1"/>
    <n v="4385.0423327174876"/>
    <n v="87.700846654349746"/>
  </r>
  <r>
    <s v="DLG"/>
    <x v="8"/>
    <n v="9"/>
    <n v="88"/>
    <n v="5"/>
    <n v="2"/>
    <n v="8"/>
    <n v="12.6"/>
    <n v="54.5"/>
    <n v="29.5"/>
    <n v="6.33"/>
    <n v="186.73500000000001"/>
    <d v="2025-09-22T15:06:09"/>
    <n v="17.420000000000002"/>
    <n v="14"/>
    <n v="57.3"/>
    <n v="3971.2394569844969"/>
    <n v="79.424789139689935"/>
  </r>
  <r>
    <s v="DLG"/>
    <x v="8"/>
    <n v="9"/>
    <n v="15"/>
    <n v="1"/>
    <n v="3"/>
    <n v="5"/>
    <n v="12.5"/>
    <n v="55.1"/>
    <n v="29.5"/>
    <n v="6.33"/>
    <n v="186.73500000000001"/>
    <d v="2025-09-22T14:01:34"/>
    <n v="16.670000000000002"/>
    <n v="14.5"/>
    <n v="57.3"/>
    <n v="3778.1673226765201"/>
    <n v="75.5633464535304"/>
  </r>
  <r>
    <s v="DLG"/>
    <x v="8"/>
    <n v="9"/>
    <n v="105"/>
    <n v="6"/>
    <n v="5"/>
    <n v="10"/>
    <n v="12.2"/>
    <n v="54.7"/>
    <n v="29.5"/>
    <n v="6.33"/>
    <n v="186.73500000000001"/>
    <d v="2025-09-22T15:41:27"/>
    <n v="16.57"/>
    <n v="14.5"/>
    <n v="57.3"/>
    <n v="3755.5028516346692"/>
    <n v="75.110057032693391"/>
  </r>
  <r>
    <s v="DLG"/>
    <x v="8"/>
    <n v="9"/>
    <n v="38"/>
    <n v="2"/>
    <n v="8"/>
    <n v="3"/>
    <n v="12.7"/>
    <n v="54.5"/>
    <n v="29.5"/>
    <n v="6.33"/>
    <n v="186.73500000000001"/>
    <d v="2025-09-22T13:30:49"/>
    <n v="18.72"/>
    <n v="15"/>
    <n v="57.4"/>
    <n v="4217.9773475781185"/>
    <n v="84.359546951562365"/>
  </r>
  <r>
    <s v="DLG"/>
    <x v="8"/>
    <n v="9"/>
    <n v="124"/>
    <n v="7"/>
    <n v="9"/>
    <n v="9"/>
    <n v="12.8"/>
    <n v="55.2"/>
    <n v="29.5"/>
    <n v="6.33"/>
    <n v="186.73500000000001"/>
    <d v="2025-09-22T15:28:52"/>
    <n v="19.68"/>
    <n v="15.8"/>
    <n v="57"/>
    <n v="4392.5494417222271"/>
    <n v="87.850988834444536"/>
  </r>
  <r>
    <s v="DLG"/>
    <x v="8"/>
    <n v="9"/>
    <n v="49"/>
    <n v="3"/>
    <n v="10"/>
    <n v="2"/>
    <n v="13"/>
    <n v="55.4"/>
    <n v="29.5"/>
    <n v="6.33"/>
    <n v="186.73500000000001"/>
    <d v="2025-09-22T13:13:12"/>
    <n v="20"/>
    <n v="13.7"/>
    <n v="56.6"/>
    <n v="4575.3072535946658"/>
    <n v="91.506145071893314"/>
  </r>
  <r>
    <s v="DLG"/>
    <x v="8"/>
    <n v="9"/>
    <n v="150"/>
    <n v="8"/>
    <n v="14"/>
    <n v="6"/>
    <n v="12.7"/>
    <n v="55.6"/>
    <n v="29.5"/>
    <n v="6.33"/>
    <n v="186.73500000000001"/>
    <d v="2025-09-22T14:44:02"/>
    <n v="17.98"/>
    <n v="15.3"/>
    <n v="58"/>
    <n v="4036.942565667925"/>
    <n v="80.738851313358495"/>
  </r>
  <r>
    <s v="DLG"/>
    <x v="8"/>
    <n v="9"/>
    <n v="80"/>
    <n v="4"/>
    <n v="16"/>
    <n v="1"/>
    <n v="13.9"/>
    <n v="53.6"/>
    <n v="29.5"/>
    <n v="6.33"/>
    <n v="186.73500000000001"/>
    <d v="2025-09-22T13:05:30"/>
    <n v="11.72"/>
    <n v="17.7"/>
    <n v="55.8"/>
    <n v="2556.8598280986421"/>
    <n v="51.137196561972843"/>
  </r>
  <r>
    <s v="DLG"/>
    <x v="9"/>
    <n v="10"/>
    <n v="4"/>
    <n v="1"/>
    <n v="1"/>
    <n v="4"/>
    <n v="12.8"/>
    <n v="53.4"/>
    <n v="29.5"/>
    <n v="6.33"/>
    <n v="186.73500000000001"/>
    <d v="2025-09-22T13:57:55"/>
    <n v="22.5"/>
    <n v="11.7"/>
    <n v="55.2"/>
    <n v="5266.5073499879509"/>
    <n v="105.33014699975902"/>
  </r>
  <r>
    <s v="DLG"/>
    <x v="9"/>
    <n v="10"/>
    <n v="86"/>
    <n v="5"/>
    <n v="2"/>
    <n v="10"/>
    <n v="11.8"/>
    <n v="55.4"/>
    <n v="29.5"/>
    <n v="6.33"/>
    <n v="186.73500000000001"/>
    <d v="2025-09-22T15:38:31"/>
    <n v="22.83"/>
    <n v="12.7"/>
    <n v="56.3"/>
    <n v="5283.2313438830424"/>
    <n v="105.66462687766085"/>
  </r>
  <r>
    <s v="DLG"/>
    <x v="9"/>
    <n v="10"/>
    <n v="28"/>
    <n v="2"/>
    <n v="6"/>
    <n v="3"/>
    <n v="12.6"/>
    <n v="54.2"/>
    <n v="29.5"/>
    <n v="6.33"/>
    <n v="186.73500000000001"/>
    <d v="2025-09-22T13:28:50"/>
    <n v="21.96"/>
    <n v="13.5"/>
    <n v="55.6"/>
    <n v="5035.329745361073"/>
    <n v="100.70659490722146"/>
  </r>
  <r>
    <s v="DLG"/>
    <x v="9"/>
    <n v="10"/>
    <n v="118"/>
    <n v="6"/>
    <n v="8"/>
    <n v="8"/>
    <n v="12.8"/>
    <n v="55.2"/>
    <n v="29.5"/>
    <n v="6.33"/>
    <n v="186.73500000000001"/>
    <d v="2025-09-22T15:12:22"/>
    <n v="21.07"/>
    <n v="15.3"/>
    <n v="57.3"/>
    <n v="4730.7219053739254"/>
    <n v="94.614438107478506"/>
  </r>
  <r>
    <s v="DLG"/>
    <x v="9"/>
    <n v="10"/>
    <n v="130"/>
    <n v="7"/>
    <n v="10"/>
    <n v="6"/>
    <n v="13.1"/>
    <n v="53.9"/>
    <n v="29.5"/>
    <n v="6.33"/>
    <n v="186.73500000000001"/>
    <d v="2025-09-22T14:39:19"/>
    <n v="23.19"/>
    <n v="14.5"/>
    <n v="55.8"/>
    <n v="5255.8908346051885"/>
    <n v="105.11781669210377"/>
  </r>
  <r>
    <s v="DLG"/>
    <x v="9"/>
    <n v="10"/>
    <n v="59"/>
    <n v="3"/>
    <n v="12"/>
    <n v="2"/>
    <n v="14"/>
    <n v="52.7"/>
    <n v="29.5"/>
    <n v="6.33"/>
    <n v="186.73500000000001"/>
    <d v="2025-09-22T13:11:16"/>
    <n v="19.79"/>
    <n v="15"/>
    <n v="56.3"/>
    <n v="4459.0690015262262"/>
    <n v="89.181380030524522"/>
  </r>
  <r>
    <s v="DLG"/>
    <x v="9"/>
    <n v="10"/>
    <n v="147"/>
    <n v="8"/>
    <n v="14"/>
    <n v="9"/>
    <n v="12.8"/>
    <n v="54.8"/>
    <n v="29.5"/>
    <n v="6.33"/>
    <n v="186.73500000000001"/>
    <d v="2025-09-22T15:24:20"/>
    <n v="21.33"/>
    <n v="13.7"/>
    <n v="57"/>
    <n v="4879.5651859587106"/>
    <n v="97.591303719174206"/>
  </r>
  <r>
    <s v="DLG"/>
    <x v="9"/>
    <n v="10"/>
    <n v="71"/>
    <n v="4"/>
    <n v="15"/>
    <n v="1"/>
    <n v="13.1"/>
    <n v="53.7"/>
    <n v="29.5"/>
    <n v="6.33"/>
    <n v="186.73500000000001"/>
    <d v="2025-09-22T13:04:24"/>
    <n v="11.77"/>
    <n v="16.2"/>
    <n v="56"/>
    <n v="2614.5680777572493"/>
    <n v="52.291361555144988"/>
  </r>
  <r>
    <s v="UNL"/>
    <x v="10"/>
    <n v="11"/>
    <n v="2"/>
    <n v="1"/>
    <n v="1"/>
    <n v="2"/>
    <n v="12.4"/>
    <n v="55.5"/>
    <n v="29.5"/>
    <n v="6.33"/>
    <n v="186.73500000000001"/>
    <d v="2025-09-22T13:22:17"/>
    <n v="19.010000000000002"/>
    <n v="14.4"/>
    <n v="57.5"/>
    <n v="4313.5551449915656"/>
    <n v="86.271102899831305"/>
  </r>
  <r>
    <s v="UNL"/>
    <x v="10"/>
    <n v="11"/>
    <n v="11"/>
    <n v="1"/>
    <n v="3"/>
    <n v="1"/>
    <n v="13.7"/>
    <n v="56"/>
    <n v="29.5"/>
    <n v="6.33"/>
    <n v="186.73500000000001"/>
    <d v="2025-09-22T12:45:14"/>
    <n v="18.52"/>
    <n v="18.8"/>
    <n v="58.7"/>
    <n v="3986.3597076070369"/>
    <n v="79.72719415214074"/>
  </r>
  <r>
    <s v="UNL"/>
    <x v="10"/>
    <n v="11"/>
    <n v="99"/>
    <n v="5"/>
    <n v="4"/>
    <n v="7"/>
    <n v="12.3"/>
    <n v="55.9"/>
    <n v="29.5"/>
    <n v="6.33"/>
    <n v="186.73500000000001"/>
    <d v="2025-09-22T14:57:56"/>
    <n v="19.079999999999998"/>
    <n v="12.5"/>
    <n v="57.6"/>
    <n v="4425.5361876455927"/>
    <n v="88.510723752911858"/>
  </r>
  <r>
    <s v="UNL"/>
    <x v="10"/>
    <n v="11"/>
    <n v="117"/>
    <n v="6"/>
    <n v="8"/>
    <n v="9"/>
    <n v="12.2"/>
    <n v="55.9"/>
    <n v="29.5"/>
    <n v="6.33"/>
    <n v="186.73500000000001"/>
    <d v="2025-09-22T15:29:46"/>
    <n v="17.98"/>
    <n v="13.1"/>
    <n v="57.6"/>
    <n v="4141.7982167242353"/>
    <n v="82.8359643344847"/>
  </r>
  <r>
    <s v="UNL"/>
    <x v="10"/>
    <n v="11"/>
    <n v="126"/>
    <n v="7"/>
    <n v="10"/>
    <n v="10"/>
    <n v="12.4"/>
    <n v="55"/>
    <n v="29.5"/>
    <n v="6.33"/>
    <n v="186.73500000000001"/>
    <d v="2025-09-22T15:45:58"/>
    <n v="18.07"/>
    <n v="13.9"/>
    <n v="57.7"/>
    <n v="4124.2100570326938"/>
    <n v="82.48420114065388"/>
  </r>
  <r>
    <s v="UNL"/>
    <x v="10"/>
    <n v="11"/>
    <n v="57"/>
    <n v="3"/>
    <n v="12"/>
    <n v="4"/>
    <n v="12.6"/>
    <n v="55.9"/>
    <n v="29.5"/>
    <n v="6.33"/>
    <n v="186.73500000000001"/>
    <d v="2025-09-22T13:43:50"/>
    <n v="18.73"/>
    <n v="14.7"/>
    <n v="57.7"/>
    <n v="4235.1254719254557"/>
    <n v="84.702509438509111"/>
  </r>
  <r>
    <s v="UNL"/>
    <x v="10"/>
    <n v="11"/>
    <n v="63"/>
    <n v="4"/>
    <n v="13"/>
    <n v="3"/>
    <n v="12.3"/>
    <n v="55.4"/>
    <n v="29.5"/>
    <n v="6.33"/>
    <n v="186.73500000000001"/>
    <d v="2025-09-22T13:35:38"/>
    <n v="19.62"/>
    <n v="14.2"/>
    <n v="57.2"/>
    <n v="4462.3719174230864"/>
    <n v="89.247438348461728"/>
  </r>
  <r>
    <s v="UNL"/>
    <x v="10"/>
    <n v="11"/>
    <n v="151"/>
    <n v="8"/>
    <n v="15"/>
    <n v="6"/>
    <n v="12.5"/>
    <n v="55.7"/>
    <n v="29.5"/>
    <n v="6.33"/>
    <n v="186.73500000000001"/>
    <d v="2025-09-22T14:45:03"/>
    <n v="18.170000000000002"/>
    <n v="14"/>
    <n v="57.6"/>
    <n v="4142.2170455458272"/>
    <n v="82.844340910916543"/>
  </r>
  <r>
    <s v="UNL"/>
    <x v="11"/>
    <n v="12"/>
    <n v="13"/>
    <n v="1"/>
    <n v="3"/>
    <n v="3"/>
    <n v="12.2"/>
    <n v="55.3"/>
    <n v="29.5"/>
    <n v="6.33"/>
    <n v="186.73500000000001"/>
    <d v="2025-09-22T13:25:49"/>
    <n v="17.61"/>
    <n v="14.3"/>
    <n v="57.6"/>
    <n v="4000.5495220499633"/>
    <n v="80.010990440999265"/>
  </r>
  <r>
    <s v="UNL"/>
    <x v="11"/>
    <n v="12"/>
    <n v="96"/>
    <n v="5"/>
    <n v="4"/>
    <n v="10"/>
    <n v="12.2"/>
    <n v="56.1"/>
    <n v="29.5"/>
    <n v="6.33"/>
    <n v="186.73500000000001"/>
    <d v="2025-09-22T15:40:27"/>
    <n v="20.5"/>
    <n v="14.3"/>
    <n v="57.9"/>
    <n v="4657.0849064181866"/>
    <n v="93.141698128363728"/>
  </r>
  <r>
    <s v="UNL"/>
    <x v="11"/>
    <n v="12"/>
    <n v="109"/>
    <n v="6"/>
    <n v="6"/>
    <n v="7"/>
    <n v="12.3"/>
    <n v="56.2"/>
    <n v="29.5"/>
    <n v="6.33"/>
    <n v="186.73500000000001"/>
    <d v="2025-09-22T14:56:16"/>
    <n v="17.03"/>
    <n v="13.1"/>
    <n v="57.5"/>
    <n v="3922.960157442365"/>
    <n v="78.459203148847294"/>
  </r>
  <r>
    <s v="UNL"/>
    <x v="11"/>
    <n v="12"/>
    <n v="32"/>
    <n v="2"/>
    <n v="7"/>
    <n v="2"/>
    <n v="12.9"/>
    <n v="55.7"/>
    <n v="29.5"/>
    <n v="6.33"/>
    <n v="186.73500000000001"/>
    <d v="2025-09-22T13:16:08"/>
    <n v="18.28"/>
    <n v="13.9"/>
    <n v="56.8"/>
    <n v="4172.1394489517234"/>
    <n v="83.442788979034461"/>
  </r>
  <r>
    <s v="UNL"/>
    <x v="11"/>
    <n v="12"/>
    <n v="131"/>
    <n v="7"/>
    <n v="11"/>
    <n v="6"/>
    <n v="12.7"/>
    <n v="56.5"/>
    <n v="29.5"/>
    <n v="6.33"/>
    <n v="186.73500000000001"/>
    <d v="2025-09-22T14:40:17"/>
    <n v="17.7"/>
    <n v="14.4"/>
    <n v="58"/>
    <n v="4016.3033175355445"/>
    <n v="80.326066350710889"/>
  </r>
  <r>
    <s v="UNL"/>
    <x v="11"/>
    <n v="12"/>
    <n v="60"/>
    <n v="3"/>
    <n v="12"/>
    <n v="1"/>
    <n v="13.2"/>
    <n v="55.7"/>
    <n v="29.5"/>
    <n v="6.33"/>
    <n v="186.73500000000001"/>
    <d v="2025-09-22T13:01:22"/>
    <n v="12.62"/>
    <n v="16.5"/>
    <n v="56.6"/>
    <n v="2793.3496666398905"/>
    <n v="55.866993332797811"/>
  </r>
  <r>
    <s v="UNL"/>
    <x v="11"/>
    <n v="12"/>
    <n v="65"/>
    <n v="4"/>
    <n v="13"/>
    <n v="5"/>
    <n v="12.4"/>
    <n v="56.2"/>
    <n v="29.5"/>
    <n v="6.33"/>
    <n v="186.73500000000001"/>
    <d v="2025-09-22T14:12:51"/>
    <n v="18.75"/>
    <n v="13.8"/>
    <n v="57.2"/>
    <n v="4284.3802715077518"/>
    <n v="85.687605430155031"/>
  </r>
  <r>
    <s v="UNL"/>
    <x v="11"/>
    <n v="12"/>
    <n v="148"/>
    <n v="8"/>
    <n v="14"/>
    <n v="8"/>
    <n v="12.3"/>
    <n v="56"/>
    <n v="29.5"/>
    <n v="6.33"/>
    <n v="186.73500000000001"/>
    <d v="2025-09-22T15:19:20"/>
    <n v="19.89"/>
    <n v="14.2"/>
    <n v="57.6"/>
    <n v="4523.7807052775315"/>
    <n v="90.475614105550633"/>
  </r>
  <r>
    <s v="UNL"/>
    <x v="12"/>
    <n v="13"/>
    <n v="83"/>
    <n v="5"/>
    <n v="1"/>
    <n v="8"/>
    <n v="12.1"/>
    <n v="56.7"/>
    <n v="29.5"/>
    <n v="6.33"/>
    <n v="186.73500000000001"/>
    <d v="2025-09-22T15:05:05"/>
    <n v="15.84"/>
    <n v="13.1"/>
    <n v="57.6"/>
    <n v="3648.8366937103378"/>
    <n v="72.976733874206758"/>
  </r>
  <r>
    <s v="UNL"/>
    <x v="12"/>
    <n v="13"/>
    <n v="8"/>
    <n v="1"/>
    <n v="2"/>
    <n v="3"/>
    <n v="12.2"/>
    <n v="55"/>
    <n v="29.5"/>
    <n v="6.33"/>
    <n v="186.73500000000001"/>
    <d v="2025-09-22T13:24:34"/>
    <n v="16.2"/>
    <n v="13.6"/>
    <n v="56.9"/>
    <n v="3710.2931962406619"/>
    <n v="74.205863924813244"/>
  </r>
  <r>
    <s v="UNL"/>
    <x v="12"/>
    <n v="13"/>
    <n v="107"/>
    <n v="6"/>
    <n v="6"/>
    <n v="9"/>
    <n v="11.8"/>
    <n v="55.8"/>
    <n v="29.5"/>
    <n v="6.33"/>
    <n v="186.73500000000001"/>
    <d v="2025-09-22T15:31:46"/>
    <n v="15.98"/>
    <n v="12.4"/>
    <n v="57.6"/>
    <n v="3710.7385332155186"/>
    <n v="74.214770664310379"/>
  </r>
  <r>
    <s v="UNL"/>
    <x v="12"/>
    <n v="13"/>
    <n v="35"/>
    <n v="2"/>
    <n v="7"/>
    <n v="5"/>
    <n v="12.1"/>
    <n v="55.2"/>
    <n v="29.5"/>
    <n v="6.33"/>
    <n v="186.73500000000001"/>
    <d v="2025-09-22T14:07:06"/>
    <n v="18.47"/>
    <n v="13.2"/>
    <n v="57.2"/>
    <n v="4249.7765282351993"/>
    <n v="84.995530564703984"/>
  </r>
  <r>
    <s v="UNL"/>
    <x v="12"/>
    <n v="13"/>
    <n v="42"/>
    <n v="3"/>
    <n v="9"/>
    <n v="2"/>
    <n v="12.7"/>
    <n v="55.3"/>
    <n v="29.5"/>
    <n v="6.33"/>
    <n v="186.73500000000001"/>
    <d v="2025-09-22T13:14:08"/>
    <n v="18.43"/>
    <n v="13.7"/>
    <n v="56.6"/>
    <n v="4216.1456341874846"/>
    <n v="84.322912683749692"/>
  </r>
  <r>
    <s v="UNL"/>
    <x v="12"/>
    <n v="13"/>
    <n v="140"/>
    <n v="7"/>
    <n v="12"/>
    <n v="6"/>
    <n v="12.2"/>
    <n v="56.6"/>
    <n v="29.5"/>
    <n v="6.33"/>
    <n v="186.73500000000001"/>
    <d v="2025-09-22T14:41:23"/>
    <n v="16.37"/>
    <n v="13.7"/>
    <n v="58"/>
    <n v="3744.8889870672342"/>
    <n v="74.897779741344678"/>
  </r>
  <r>
    <s v="UNL"/>
    <x v="12"/>
    <n v="13"/>
    <n v="70"/>
    <n v="4"/>
    <n v="14"/>
    <n v="1"/>
    <n v="12.7"/>
    <n v="55"/>
    <n v="29.5"/>
    <n v="6.33"/>
    <n v="186.73500000000001"/>
    <d v="2025-09-22T13:03:22"/>
    <n v="13.29"/>
    <n v="15.3"/>
    <n v="57.3"/>
    <n v="2983.9247329102736"/>
    <n v="59.678494658205473"/>
  </r>
  <r>
    <s v="UNL"/>
    <x v="12"/>
    <n v="13"/>
    <n v="156"/>
    <n v="8"/>
    <n v="16"/>
    <n v="10"/>
    <n v="11.7"/>
    <n v="55.5"/>
    <n v="29.5"/>
    <n v="6.33"/>
    <n v="186.73500000000001"/>
    <d v="2025-09-22T15:51:14"/>
    <n v="16.440000000000001"/>
    <n v="12.7"/>
    <n v="57.2"/>
    <n v="3804.4819664230058"/>
    <n v="76.089639328460123"/>
  </r>
  <r>
    <s v="UNL"/>
    <x v="13"/>
    <n v="14"/>
    <n v="91"/>
    <n v="5"/>
    <n v="3"/>
    <n v="6"/>
    <n v="12.4"/>
    <n v="56.6"/>
    <n v="29.5"/>
    <n v="6.33"/>
    <n v="186.73500000000001"/>
    <d v="2025-09-22T14:32:30"/>
    <n v="16.690000000000001"/>
    <n v="14.2"/>
    <n v="58.1"/>
    <n v="3795.9728492248373"/>
    <n v="75.919456984496748"/>
  </r>
  <r>
    <s v="UNL"/>
    <x v="13"/>
    <n v="14"/>
    <n v="18"/>
    <n v="1"/>
    <n v="4"/>
    <n v="3"/>
    <n v="12.1"/>
    <n v="56.3"/>
    <n v="29.5"/>
    <n v="6.33"/>
    <n v="186.73500000000001"/>
    <d v="2025-09-22T13:26:55"/>
    <n v="19.5"/>
    <n v="14.3"/>
    <n v="58.2"/>
    <n v="4429.9100329343719"/>
    <n v="88.598200658687432"/>
  </r>
  <r>
    <s v="UNL"/>
    <x v="13"/>
    <n v="14"/>
    <n v="30"/>
    <n v="2"/>
    <n v="6"/>
    <n v="1"/>
    <n v="12.5"/>
    <n v="57.8"/>
    <n v="29.5"/>
    <n v="6.33"/>
    <n v="186.73500000000001"/>
    <d v="2025-09-22T12:54:43"/>
    <n v="16.329999999999998"/>
    <n v="15.3"/>
    <n v="58.5"/>
    <n v="3666.4778697084098"/>
    <n v="73.329557394168191"/>
  </r>
  <r>
    <s v="UNL"/>
    <x v="13"/>
    <n v="14"/>
    <n v="119"/>
    <n v="6"/>
    <n v="8"/>
    <n v="7"/>
    <n v="12.5"/>
    <n v="55.8"/>
    <n v="29.5"/>
    <n v="6.33"/>
    <n v="186.73500000000001"/>
    <d v="2025-09-22T14:54:18"/>
    <n v="17.25"/>
    <n v="13.9"/>
    <n v="58"/>
    <n v="3937.0571933488632"/>
    <n v="78.741143866977268"/>
  </r>
  <r>
    <s v="UNL"/>
    <x v="13"/>
    <n v="14"/>
    <n v="123"/>
    <n v="7"/>
    <n v="9"/>
    <n v="8"/>
    <n v="12.7"/>
    <n v="56.3"/>
    <n v="29.5"/>
    <n v="6.33"/>
    <n v="186.73500000000001"/>
    <d v="2025-09-22T15:13:16"/>
    <n v="18.579999999999998"/>
    <n v="15"/>
    <n v="58.1"/>
    <n v="4186.4326451923844"/>
    <n v="83.728652903847689"/>
  </r>
  <r>
    <s v="UNL"/>
    <x v="13"/>
    <n v="14"/>
    <n v="54"/>
    <n v="3"/>
    <n v="11"/>
    <n v="4"/>
    <n v="12.6"/>
    <n v="55.7"/>
    <n v="29.5"/>
    <n v="6.33"/>
    <n v="186.73500000000001"/>
    <d v="2025-09-22T13:44:44"/>
    <n v="17.57"/>
    <n v="14"/>
    <n v="58.3"/>
    <n v="4005.4349746967628"/>
    <n v="80.108699493935262"/>
  </r>
  <r>
    <s v="UNL"/>
    <x v="13"/>
    <n v="14"/>
    <n v="69"/>
    <n v="4"/>
    <n v="14"/>
    <n v="2"/>
    <n v="13.8"/>
    <n v="54.8"/>
    <n v="29.5"/>
    <n v="6.33"/>
    <n v="186.73500000000001"/>
    <d v="2025-09-22T13:09:13"/>
    <n v="17.25"/>
    <n v="15.6"/>
    <n v="57.1"/>
    <n v="3859.3220338983051"/>
    <n v="77.186440677966104"/>
  </r>
  <r>
    <s v="UNL"/>
    <x v="13"/>
    <n v="14"/>
    <n v="157"/>
    <n v="8"/>
    <n v="16"/>
    <n v="9"/>
    <n v="12.3"/>
    <n v="56.1"/>
    <n v="29.5"/>
    <n v="6.33"/>
    <n v="186.73500000000001"/>
    <d v="2025-09-22T15:22:40"/>
    <n v="15.31"/>
    <n v="14.2"/>
    <n v="58.1"/>
    <n v="3482.1057113021125"/>
    <n v="69.642114226042253"/>
  </r>
  <r>
    <s v="UNL"/>
    <x v="14"/>
    <n v="15"/>
    <n v="1"/>
    <n v="1"/>
    <n v="1"/>
    <n v="1"/>
    <n v="13.6"/>
    <n v="57"/>
    <n v="29.5"/>
    <n v="6.33"/>
    <n v="186.73500000000001"/>
    <d v="2025-09-22T12:43:00"/>
    <n v="23.1"/>
    <n v="15.6"/>
    <n v="56.9"/>
    <n v="5168.1355932203396"/>
    <n v="103.36271186440679"/>
  </r>
  <r>
    <s v="UNL"/>
    <x v="14"/>
    <n v="15"/>
    <n v="95"/>
    <n v="5"/>
    <n v="3"/>
    <n v="10"/>
    <n v="12.4"/>
    <n v="56.7"/>
    <n v="29.5"/>
    <n v="6.33"/>
    <n v="186.73500000000001"/>
    <d v="2025-09-22T15:39:27"/>
    <n v="21.22"/>
    <n v="15.8"/>
    <n v="58.6"/>
    <n v="4736.2753634830115"/>
    <n v="94.725507269660227"/>
  </r>
  <r>
    <s v="UNL"/>
    <x v="14"/>
    <n v="15"/>
    <n v="22"/>
    <n v="2"/>
    <n v="5"/>
    <n v="2"/>
    <n v="13"/>
    <n v="57.2"/>
    <n v="29.5"/>
    <n v="6.33"/>
    <n v="186.73500000000001"/>
    <d v="2025-09-22T13:18:01"/>
    <n v="23.45"/>
    <n v="14.6"/>
    <n v="58.3"/>
    <n v="5308.6022973732834"/>
    <n v="106.17204594746566"/>
  </r>
  <r>
    <s v="UNL"/>
    <x v="14"/>
    <n v="15"/>
    <n v="113"/>
    <n v="6"/>
    <n v="7"/>
    <n v="8"/>
    <n v="13.3"/>
    <n v="56.5"/>
    <n v="29.5"/>
    <n v="6.33"/>
    <n v="186.73500000000001"/>
    <d v="2025-09-22T15:11:21"/>
    <n v="20.77"/>
    <n v="16.3"/>
    <n v="58.7"/>
    <n v="4608.3072535946667"/>
    <n v="92.166145071893339"/>
  </r>
  <r>
    <s v="UNL"/>
    <x v="14"/>
    <n v="15"/>
    <n v="47"/>
    <n v="3"/>
    <n v="10"/>
    <n v="4"/>
    <n v="13.4"/>
    <n v="56.9"/>
    <n v="29.5"/>
    <n v="6.33"/>
    <n v="186.73500000000001"/>
    <d v="2025-09-22T13:45:35"/>
    <n v="22.91"/>
    <n v="15.9"/>
    <n v="58.7"/>
    <n v="5107.408064904811"/>
    <n v="102.14816129809623"/>
  </r>
  <r>
    <s v="UNL"/>
    <x v="14"/>
    <n v="15"/>
    <n v="134"/>
    <n v="7"/>
    <n v="11"/>
    <n v="9"/>
    <n v="13.3"/>
    <n v="56.7"/>
    <n v="29.5"/>
    <n v="6.33"/>
    <n v="186.73500000000001"/>
    <d v="2025-09-22T15:26:52"/>
    <n v="20.69"/>
    <n v="17.2"/>
    <n v="58.8"/>
    <n v="4541.1965619728489"/>
    <n v="90.823931239456982"/>
  </r>
  <r>
    <s v="UNL"/>
    <x v="14"/>
    <n v="15"/>
    <n v="142"/>
    <n v="8"/>
    <n v="13"/>
    <n v="7"/>
    <n v="13.3"/>
    <n v="57.1"/>
    <n v="29.5"/>
    <n v="6.33"/>
    <n v="186.73500000000001"/>
    <d v="2025-09-22T14:49:51"/>
    <n v="22.48"/>
    <n v="16.5"/>
    <n v="58.1"/>
    <n v="4975.7924331271588"/>
    <n v="99.515848662543178"/>
  </r>
  <r>
    <s v="UNL"/>
    <x v="14"/>
    <n v="15"/>
    <n v="66"/>
    <n v="4"/>
    <n v="14"/>
    <n v="5"/>
    <n v="13.3"/>
    <n v="56.3"/>
    <n v="29.5"/>
    <n v="6.33"/>
    <n v="186.73500000000001"/>
    <d v="2025-09-22T14:13:46"/>
    <n v="21.27"/>
    <n v="17.600000000000001"/>
    <n v="58.7"/>
    <n v="4645.9461804160974"/>
    <n v="92.918923608321947"/>
  </r>
  <r>
    <s v="UNL"/>
    <x v="15"/>
    <n v="16"/>
    <n v="3"/>
    <n v="1"/>
    <n v="1"/>
    <n v="3"/>
    <n v="12.6"/>
    <n v="56.1"/>
    <n v="29.5"/>
    <n v="6.33"/>
    <n v="186.73500000000001"/>
    <d v="2025-09-22T13:23:44"/>
    <n v="21.78"/>
    <n v="15.7"/>
    <n v="57.6"/>
    <n v="4867.0400835408464"/>
    <n v="97.34080167081693"/>
  </r>
  <r>
    <s v="UNL"/>
    <x v="15"/>
    <n v="16"/>
    <n v="94"/>
    <n v="5"/>
    <n v="3"/>
    <n v="9"/>
    <n v="12.5"/>
    <n v="56.9"/>
    <n v="29.5"/>
    <n v="6.33"/>
    <n v="186.73500000000001"/>
    <d v="2025-09-22T15:34:34"/>
    <n v="17.57"/>
    <n v="14.8"/>
    <n v="57.2"/>
    <n v="3968.1751144670261"/>
    <n v="79.363502289340516"/>
  </r>
  <r>
    <s v="UNL"/>
    <x v="15"/>
    <n v="16"/>
    <n v="108"/>
    <n v="6"/>
    <n v="6"/>
    <n v="8"/>
    <n v="12.5"/>
    <n v="56"/>
    <n v="29.5"/>
    <n v="6.33"/>
    <n v="186.73500000000001"/>
    <d v="2025-09-22T15:10:20"/>
    <n v="18.89"/>
    <n v="15.4"/>
    <n v="58.8"/>
    <n v="4236.2520684392312"/>
    <n v="84.725041368784616"/>
  </r>
  <r>
    <s v="UNL"/>
    <x v="15"/>
    <n v="16"/>
    <n v="40"/>
    <n v="2"/>
    <n v="8"/>
    <n v="1"/>
    <n v="13.4"/>
    <n v="56.2"/>
    <n v="29.5"/>
    <n v="6.33"/>
    <n v="186.73500000000001"/>
    <d v="2025-09-22T12:56:55"/>
    <n v="15.11"/>
    <n v="19.5"/>
    <n v="58.3"/>
    <n v="3224.3324765041366"/>
    <n v="64.48664953008273"/>
  </r>
  <r>
    <s v="UNL"/>
    <x v="15"/>
    <n v="16"/>
    <n v="129"/>
    <n v="7"/>
    <n v="10"/>
    <n v="7"/>
    <n v="13"/>
    <n v="56.5"/>
    <n v="29.5"/>
    <n v="6.33"/>
    <n v="186.73500000000001"/>
    <d v="2025-09-22T14:52:32"/>
    <n v="21.67"/>
    <n v="15.3"/>
    <n v="58.4"/>
    <n v="4865.4363402682948"/>
    <n v="97.308726805365893"/>
  </r>
  <r>
    <s v="UNL"/>
    <x v="15"/>
    <n v="16"/>
    <n v="55"/>
    <n v="3"/>
    <n v="11"/>
    <n v="5"/>
    <n v="12.4"/>
    <n v="56"/>
    <n v="29.5"/>
    <n v="6.33"/>
    <n v="186.73500000000001"/>
    <d v="2025-09-22T14:11:00"/>
    <n v="20.3"/>
    <n v="15.3"/>
    <n v="58.7"/>
    <n v="4557.8383805928188"/>
    <n v="91.156767611856381"/>
  </r>
  <r>
    <s v="UNL"/>
    <x v="15"/>
    <n v="16"/>
    <n v="146"/>
    <n v="8"/>
    <n v="14"/>
    <n v="10"/>
    <n v="12.3"/>
    <n v="55.7"/>
    <n v="29.5"/>
    <n v="6.33"/>
    <n v="186.73500000000001"/>
    <d v="2025-09-22T15:49:20"/>
    <n v="21.22"/>
    <n v="15.7"/>
    <n v="58.3"/>
    <n v="4741.9003936059116"/>
    <n v="94.838007872118226"/>
  </r>
  <r>
    <s v="UNL"/>
    <x v="15"/>
    <n v="16"/>
    <n v="77"/>
    <n v="4"/>
    <n v="16"/>
    <n v="4"/>
    <n v="12.9"/>
    <n v="55.8"/>
    <n v="29.5"/>
    <n v="6.33"/>
    <n v="186.73500000000001"/>
    <d v="2025-09-22T13:39:30"/>
    <n v="19.940000000000001"/>
    <n v="14.6"/>
    <n v="58"/>
    <n v="4514.0097999839345"/>
    <n v="90.280195999678696"/>
  </r>
  <r>
    <s v="UNL"/>
    <x v="16"/>
    <n v="17"/>
    <n v="10"/>
    <n v="1"/>
    <n v="2"/>
    <n v="1"/>
    <n v="12.6"/>
    <n v="57"/>
    <n v="29.5"/>
    <n v="6.33"/>
    <n v="186.73500000000001"/>
    <d v="2025-09-22T12:44:11"/>
    <n v="16.13"/>
    <n v="15.7"/>
    <n v="58.3"/>
    <n v="3604.4699975901672"/>
    <n v="72.089399951803344"/>
  </r>
  <r>
    <s v="UNL"/>
    <x v="16"/>
    <n v="17"/>
    <n v="93"/>
    <n v="5"/>
    <n v="3"/>
    <n v="8"/>
    <n v="12.2"/>
    <n v="56.7"/>
    <n v="29.5"/>
    <n v="6.33"/>
    <n v="186.73500000000001"/>
    <d v="2025-09-22T15:07:07"/>
    <n v="16.829999999999998"/>
    <n v="14.1"/>
    <n v="58.4"/>
    <n v="3832.2757651216962"/>
    <n v="76.645515302433921"/>
  </r>
  <r>
    <s v="UNL"/>
    <x v="16"/>
    <n v="17"/>
    <n v="102"/>
    <n v="6"/>
    <n v="5"/>
    <n v="7"/>
    <n v="12.3"/>
    <n v="57.2"/>
    <n v="29.5"/>
    <n v="6.33"/>
    <n v="186.73500000000001"/>
    <d v="2025-09-22T14:57:06"/>
    <n v="19.18"/>
    <n v="13.6"/>
    <n v="58.2"/>
    <n v="4392.8039199935738"/>
    <n v="87.856078399871478"/>
  </r>
  <r>
    <s v="UNL"/>
    <x v="16"/>
    <n v="17"/>
    <n v="26"/>
    <n v="2"/>
    <n v="6"/>
    <n v="5"/>
    <n v="12.4"/>
    <n v="56.4"/>
    <n v="29.5"/>
    <n v="6.33"/>
    <n v="186.73500000000001"/>
    <d v="2025-09-22T14:06:10"/>
    <n v="19.239999999999998"/>
    <n v="14.1"/>
    <n v="58.3"/>
    <n v="4381.0449032050756"/>
    <n v="87.62089806410151"/>
  </r>
  <r>
    <s v="UNL"/>
    <x v="16"/>
    <n v="17"/>
    <n v="53"/>
    <n v="3"/>
    <n v="11"/>
    <n v="3"/>
    <n v="12.4"/>
    <n v="55.9"/>
    <n v="29.5"/>
    <n v="6.33"/>
    <n v="186.73500000000001"/>
    <d v="2025-09-22T13:33:43"/>
    <n v="19.510000000000002"/>
    <n v="15"/>
    <n v="57.6"/>
    <n v="4395.9795967547598"/>
    <n v="87.919591935095198"/>
  </r>
  <r>
    <s v="UNL"/>
    <x v="16"/>
    <n v="17"/>
    <n v="136"/>
    <n v="7"/>
    <n v="12"/>
    <n v="10"/>
    <n v="12.8"/>
    <n v="56.7"/>
    <n v="29.5"/>
    <n v="6.33"/>
    <n v="186.73500000000001"/>
    <d v="2025-09-22T15:47:39"/>
    <n v="18.12"/>
    <n v="15.5"/>
    <n v="58.4"/>
    <n v="4058.7693790665921"/>
    <n v="81.175387581331847"/>
  </r>
  <r>
    <s v="UNL"/>
    <x v="16"/>
    <n v="17"/>
    <n v="144"/>
    <n v="8"/>
    <n v="13"/>
    <n v="9"/>
    <n v="12.5"/>
    <n v="56.8"/>
    <n v="29.5"/>
    <n v="6.33"/>
    <n v="186.73500000000001"/>
    <d v="2025-09-22T15:25:12"/>
    <n v="19.82"/>
    <n v="14.9"/>
    <n v="58.3"/>
    <n v="4471.0824965860711"/>
    <n v="89.421649931721419"/>
  </r>
  <r>
    <s v="UNL"/>
    <x v="16"/>
    <n v="17"/>
    <n v="67"/>
    <n v="4"/>
    <n v="14"/>
    <n v="4"/>
    <n v="12.8"/>
    <n v="56.5"/>
    <n v="29.5"/>
    <n v="6.33"/>
    <n v="186.73500000000001"/>
    <d v="2025-09-22T13:41:22"/>
    <n v="18.68"/>
    <n v="14.6"/>
    <n v="57.8"/>
    <n v="4228.7714675877578"/>
    <n v="84.575429351755162"/>
  </r>
  <r>
    <s v="UNL"/>
    <x v="17"/>
    <n v="18"/>
    <n v="92"/>
    <n v="5"/>
    <n v="3"/>
    <n v="7"/>
    <n v="12.8"/>
    <n v="56.9"/>
    <n v="29.5"/>
    <n v="6.33"/>
    <n v="186.73500000000001"/>
    <d v="2025-09-22T14:58:47"/>
    <n v="20.84"/>
    <n v="15"/>
    <n v="58.3"/>
    <n v="4695.6542694192303"/>
    <n v="93.913085388384602"/>
  </r>
  <r>
    <s v="UNL"/>
    <x v="17"/>
    <n v="18"/>
    <n v="20"/>
    <n v="1"/>
    <n v="4"/>
    <n v="1"/>
    <n v="12.5"/>
    <n v="56.8"/>
    <n v="29.5"/>
    <n v="6.33"/>
    <n v="186.73500000000001"/>
    <d v="2025-09-22T12:46:22"/>
    <n v="17.97"/>
    <n v="14.8"/>
    <n v="58"/>
    <n v="4058.5149007952446"/>
    <n v="81.170298015904891"/>
  </r>
  <r>
    <s v="UNL"/>
    <x v="17"/>
    <n v="18"/>
    <n v="25"/>
    <n v="2"/>
    <n v="5"/>
    <n v="5"/>
    <n v="12.6"/>
    <n v="56.9"/>
    <n v="29.5"/>
    <n v="6.33"/>
    <n v="186.73500000000001"/>
    <d v="2025-09-22T14:04:52"/>
    <n v="23.91"/>
    <n v="15.9"/>
    <n v="58.5"/>
    <n v="5330.3416338661737"/>
    <n v="106.60683267732347"/>
  </r>
  <r>
    <s v="UNL"/>
    <x v="17"/>
    <n v="18"/>
    <n v="111"/>
    <n v="6"/>
    <n v="7"/>
    <n v="6"/>
    <n v="13"/>
    <n v="57.6"/>
    <n v="29.5"/>
    <n v="6.33"/>
    <n v="186.73500000000001"/>
    <d v="2025-09-22T14:36:36"/>
    <n v="24.04"/>
    <n v="16"/>
    <n v="57.8"/>
    <n v="5352.9504377861676"/>
    <n v="107.05900875572335"/>
  </r>
  <r>
    <s v="UNL"/>
    <x v="17"/>
    <n v="18"/>
    <n v="48"/>
    <n v="3"/>
    <n v="10"/>
    <n v="3"/>
    <n v="13"/>
    <n v="56.4"/>
    <n v="29.5"/>
    <n v="6.33"/>
    <n v="186.73500000000001"/>
    <d v="2025-09-22T13:32:47"/>
    <n v="23.38"/>
    <n v="17"/>
    <n v="58"/>
    <n v="5144.0131737488955"/>
    <n v="102.88026347497791"/>
  </r>
  <r>
    <s v="UNL"/>
    <x v="17"/>
    <n v="18"/>
    <n v="133"/>
    <n v="7"/>
    <n v="11"/>
    <n v="8"/>
    <n v="13.3"/>
    <n v="57.6"/>
    <n v="29.5"/>
    <n v="6.33"/>
    <n v="186.73500000000001"/>
    <d v="2025-09-22T15:16:39"/>
    <n v="22.08"/>
    <n v="17"/>
    <n v="58.6"/>
    <n v="4857.9902000160655"/>
    <n v="97.159804000321316"/>
  </r>
  <r>
    <s v="UNL"/>
    <x v="17"/>
    <n v="18"/>
    <n v="62"/>
    <n v="4"/>
    <n v="13"/>
    <n v="2"/>
    <n v="14.1"/>
    <n v="56.4"/>
    <n v="29.5"/>
    <n v="6.33"/>
    <n v="186.73500000000001"/>
    <d v="2025-09-22T13:10:18"/>
    <n v="20.51"/>
    <n v="17.2"/>
    <n v="58.6"/>
    <n v="4501.6888103462124"/>
    <n v="90.033776206924244"/>
  </r>
  <r>
    <s v="UNL"/>
    <x v="17"/>
    <n v="18"/>
    <n v="154"/>
    <n v="8"/>
    <n v="15"/>
    <n v="9"/>
    <n v="13"/>
    <n v="56.5"/>
    <n v="29.5"/>
    <n v="6.33"/>
    <n v="186.73500000000001"/>
    <d v="2025-09-22T15:23:32"/>
    <n v="22.3"/>
    <n v="14.3"/>
    <n v="57.4"/>
    <n v="5065.9996786890515"/>
    <n v="101.31999357378103"/>
  </r>
  <r>
    <s v="UNL"/>
    <x v="18"/>
    <n v="19"/>
    <n v="5"/>
    <n v="1"/>
    <n v="1"/>
    <n v="5"/>
    <n v="13.5"/>
    <n v="56.2"/>
    <n v="29.5"/>
    <n v="6.33"/>
    <n v="186.73500000000001"/>
    <d v="2025-09-22T13:59:43"/>
    <n v="22.34"/>
    <n v="17.7"/>
    <n v="58"/>
    <n v="4873.7413446863193"/>
    <n v="97.474826893726387"/>
  </r>
  <r>
    <s v="UNL"/>
    <x v="18"/>
    <n v="19"/>
    <n v="100"/>
    <n v="5"/>
    <n v="4"/>
    <n v="6"/>
    <n v="12.8"/>
    <n v="57.2"/>
    <n v="29.5"/>
    <n v="6.33"/>
    <n v="186.73500000000001"/>
    <d v="2025-09-22T14:33:28"/>
    <n v="23.51"/>
    <n v="16.3"/>
    <n v="58.8"/>
    <n v="5216.2399389509201"/>
    <n v="104.32479877901841"/>
  </r>
  <r>
    <s v="UNL"/>
    <x v="18"/>
    <n v="19"/>
    <n v="114"/>
    <n v="6"/>
    <n v="7"/>
    <n v="9"/>
    <n v="12.9"/>
    <n v="56.9"/>
    <n v="29.5"/>
    <n v="6.33"/>
    <n v="186.73500000000001"/>
    <d v="2025-09-22T15:30:40"/>
    <n v="22.33"/>
    <n v="15.4"/>
    <n v="58.4"/>
    <n v="5007.7029480279534"/>
    <n v="100.15405896055907"/>
  </r>
  <r>
    <s v="UNL"/>
    <x v="18"/>
    <n v="19"/>
    <n v="39"/>
    <n v="2"/>
    <n v="8"/>
    <n v="2"/>
    <n v="14"/>
    <n v="56.9"/>
    <n v="29.5"/>
    <n v="6.33"/>
    <n v="186.73500000000001"/>
    <d v="2025-09-22T13:15:11"/>
    <n v="23.5"/>
    <n v="15.8"/>
    <n v="58"/>
    <n v="5245.168286609367"/>
    <n v="104.90336573218734"/>
  </r>
  <r>
    <s v="UNL"/>
    <x v="18"/>
    <n v="19"/>
    <n v="51"/>
    <n v="3"/>
    <n v="11"/>
    <n v="1"/>
    <n v="14"/>
    <n v="54.4"/>
    <n v="29.5"/>
    <n v="6.33"/>
    <n v="186.73500000000001"/>
    <d v="2025-09-22T13:00:17"/>
    <n v="14.7"/>
    <n v="19.8"/>
    <n v="58.2"/>
    <n v="3125.1522210619323"/>
    <n v="62.503044421238648"/>
  </r>
  <r>
    <s v="UNL"/>
    <x v="18"/>
    <n v="19"/>
    <n v="138"/>
    <n v="7"/>
    <n v="12"/>
    <n v="8"/>
    <n v="14"/>
    <n v="57.2"/>
    <n v="29.5"/>
    <n v="6.33"/>
    <n v="186.73500000000001"/>
    <d v="2025-09-22T15:17:33"/>
    <n v="20.7"/>
    <n v="17.600000000000001"/>
    <n v="58.7"/>
    <n v="4521.4426861595311"/>
    <n v="90.428853723190628"/>
  </r>
  <r>
    <s v="UNL"/>
    <x v="18"/>
    <n v="19"/>
    <n v="74"/>
    <n v="4"/>
    <n v="15"/>
    <n v="4"/>
    <n v="13.3"/>
    <n v="56.6"/>
    <n v="29.5"/>
    <n v="6.33"/>
    <n v="186.73500000000001"/>
    <d v="2025-09-22T13:40:23"/>
    <n v="21.38"/>
    <n v="15.3"/>
    <n v="57.3"/>
    <n v="4800.324363402683"/>
    <n v="96.006487268053661"/>
  </r>
  <r>
    <s v="UNL"/>
    <x v="18"/>
    <n v="19"/>
    <n v="159"/>
    <n v="8"/>
    <n v="16"/>
    <n v="7"/>
    <n v="13.3"/>
    <n v="56.7"/>
    <n v="29.5"/>
    <n v="6.33"/>
    <n v="186.73500000000001"/>
    <d v="2025-09-22T14:47:12"/>
    <n v="20.77"/>
    <n v="16.899999999999999"/>
    <n v="58.3"/>
    <n v="4575.2727929954208"/>
    <n v="91.505455859908409"/>
  </r>
  <r>
    <s v="UNL"/>
    <x v="19"/>
    <n v="20"/>
    <n v="89"/>
    <n v="5"/>
    <n v="2"/>
    <n v="7"/>
    <n v="12.3"/>
    <n v="56.5"/>
    <n v="29.5"/>
    <n v="6.33"/>
    <n v="186.73500000000001"/>
    <d v="2025-09-22T14:59:41"/>
    <n v="18.71"/>
    <n v="13.6"/>
    <n v="58.1"/>
    <n v="4285.1596112137522"/>
    <n v="85.703192224275043"/>
  </r>
  <r>
    <s v="UNL"/>
    <x v="19"/>
    <n v="20"/>
    <n v="19"/>
    <n v="1"/>
    <n v="4"/>
    <n v="2"/>
    <n v="12.5"/>
    <n v="55.5"/>
    <n v="29.5"/>
    <n v="6.33"/>
    <n v="186.73500000000001"/>
    <d v="2025-09-22T13:19:33"/>
    <n v="19.2"/>
    <n v="13.7"/>
    <n v="56.9"/>
    <n v="4392.2949634508786"/>
    <n v="87.845899269017579"/>
  </r>
  <r>
    <s v="UNL"/>
    <x v="19"/>
    <n v="20"/>
    <n v="24"/>
    <n v="2"/>
    <n v="5"/>
    <n v="4"/>
    <n v="12.6"/>
    <n v="56.3"/>
    <n v="29.5"/>
    <n v="6.33"/>
    <n v="186.73500000000001"/>
    <d v="2025-09-22T13:50:32"/>
    <n v="19.29"/>
    <n v="14.3"/>
    <n v="58"/>
    <n v="4382.2033095027709"/>
    <n v="87.644066190055412"/>
  </r>
  <r>
    <s v="UNL"/>
    <x v="19"/>
    <n v="20"/>
    <n v="120"/>
    <n v="6"/>
    <n v="8"/>
    <n v="6"/>
    <n v="12.8"/>
    <n v="56.9"/>
    <n v="29.5"/>
    <n v="6.33"/>
    <n v="186.73500000000001"/>
    <d v="2025-09-22T14:37:31"/>
    <n v="17.850000000000001"/>
    <n v="14.8"/>
    <n v="58.6"/>
    <n v="4031.4129648967796"/>
    <n v="80.628259297935585"/>
  </r>
  <r>
    <s v="UNL"/>
    <x v="19"/>
    <n v="20"/>
    <n v="46"/>
    <n v="3"/>
    <n v="10"/>
    <n v="5"/>
    <n v="12.4"/>
    <n v="56"/>
    <n v="29.5"/>
    <n v="6.33"/>
    <n v="186.73500000000001"/>
    <d v="2025-09-22T14:10:07"/>
    <n v="19.850000000000001"/>
    <n v="15"/>
    <n v="58.1"/>
    <n v="4472.5881596915424"/>
    <n v="89.451763193830843"/>
  </r>
  <r>
    <s v="UNL"/>
    <x v="19"/>
    <n v="20"/>
    <n v="137"/>
    <n v="7"/>
    <n v="12"/>
    <n v="9"/>
    <n v="13.4"/>
    <n v="56.6"/>
    <n v="29.5"/>
    <n v="6.33"/>
    <n v="186.73500000000001"/>
    <d v="2025-09-22T15:26:00"/>
    <n v="17"/>
    <n v="16.899999999999999"/>
    <n v="58.5"/>
    <n v="3744.8068117921111"/>
    <n v="74.896136235842221"/>
  </r>
  <r>
    <s v="UNL"/>
    <x v="19"/>
    <n v="20"/>
    <n v="68"/>
    <n v="4"/>
    <n v="14"/>
    <n v="3"/>
    <n v="13"/>
    <n v="55.3"/>
    <n v="29.5"/>
    <n v="6.33"/>
    <n v="186.73500000000001"/>
    <d v="2025-09-22T13:36:35"/>
    <n v="19.079999999999998"/>
    <n v="15"/>
    <n v="58.2"/>
    <n v="4299.0922965700047"/>
    <n v="85.981845931400088"/>
  </r>
  <r>
    <s v="UNL"/>
    <x v="19"/>
    <n v="20"/>
    <n v="155"/>
    <n v="8"/>
    <n v="15"/>
    <n v="10"/>
    <n v="12.4"/>
    <n v="56.2"/>
    <n v="29.5"/>
    <n v="6.33"/>
    <n v="186.73500000000001"/>
    <d v="2025-09-22T15:50:12"/>
    <n v="19.559999999999999"/>
    <n v="15"/>
    <n v="58.3"/>
    <n v="4407.2455618925205"/>
    <n v="88.144911237850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79062-E1E7-4022-8F73-3664715B1D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4" firstHeaderRow="0" firstDataRow="1" firstDataCol="1"/>
  <pivotFields count="18">
    <pivotField showAll="0"/>
    <pivotField axis="axisRow" showAll="0">
      <items count="21">
        <item x="8"/>
        <item x="6"/>
        <item x="5"/>
        <item x="9"/>
        <item x="3"/>
        <item x="7"/>
        <item x="4"/>
        <item x="0"/>
        <item x="2"/>
        <item x="1"/>
        <item x="10"/>
        <item x="12"/>
        <item x="13"/>
        <item x="16"/>
        <item x="17"/>
        <item x="19"/>
        <item x="15"/>
        <item x="14"/>
        <item x="18"/>
        <item x="11"/>
        <item t="default"/>
      </items>
    </pivotField>
    <pivotField dataField="1" showAll="0"/>
    <pivotField showAll="0"/>
    <pivotField showAll="0"/>
    <pivotField showAll="0"/>
    <pivotField showAll="0"/>
    <pivotField showAll="0"/>
    <pivotField showAll="0"/>
    <pivotField showAll="0"/>
    <pivotField showAll="0"/>
    <pivotField numFmtId="164" showAll="0"/>
    <pivotField numFmtId="22" showAll="0"/>
    <pivotField showAll="0"/>
    <pivotField dataField="1" showAll="0"/>
    <pivotField dataField="1" showAll="0"/>
    <pivotField numFmtId="1" showAll="0"/>
    <pivotField numFmtId="164"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Average of Entry_No_2025" fld="2" subtotal="average" baseField="1" baseItem="3"/>
    <dataField name="Average of Moisture (%)" fld="14" subtotal="average" baseField="1" baseItem="0"/>
    <dataField name="Average of TW lb/bu" fld="1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A212-2C6A-49DB-8A90-DEDDC9D735F6}">
  <sheetPr>
    <tabColor rgb="FFFF0000"/>
  </sheetPr>
  <dimension ref="A1:J29"/>
  <sheetViews>
    <sheetView workbookViewId="0">
      <selection activeCell="A40" sqref="A40"/>
    </sheetView>
  </sheetViews>
  <sheetFormatPr defaultRowHeight="15" x14ac:dyDescent="0.25"/>
  <cols>
    <col min="1" max="1" width="25.140625" bestFit="1" customWidth="1"/>
    <col min="2" max="2" width="11.140625" bestFit="1" customWidth="1"/>
    <col min="9" max="9" width="18" bestFit="1" customWidth="1"/>
    <col min="10" max="10" width="9.5703125" bestFit="1" customWidth="1"/>
  </cols>
  <sheetData>
    <row r="1" spans="1:10" x14ac:dyDescent="0.25">
      <c r="A1" s="8" t="s">
        <v>0</v>
      </c>
      <c r="B1" t="s">
        <v>1</v>
      </c>
      <c r="I1" s="8" t="s">
        <v>2</v>
      </c>
    </row>
    <row r="2" spans="1:10" x14ac:dyDescent="0.25">
      <c r="A2" t="s">
        <v>3</v>
      </c>
      <c r="B2" t="s">
        <v>4</v>
      </c>
      <c r="I2" t="s">
        <v>5</v>
      </c>
      <c r="J2" s="9">
        <v>45485</v>
      </c>
    </row>
    <row r="3" spans="1:10" x14ac:dyDescent="0.25">
      <c r="A3" t="s">
        <v>6</v>
      </c>
      <c r="B3" t="s">
        <v>7</v>
      </c>
      <c r="I3" t="s">
        <v>8</v>
      </c>
      <c r="J3" t="s">
        <v>9</v>
      </c>
    </row>
    <row r="4" spans="1:10" x14ac:dyDescent="0.25">
      <c r="A4" t="s">
        <v>10</v>
      </c>
      <c r="B4">
        <v>40.149209999999997</v>
      </c>
      <c r="I4" t="s">
        <v>11</v>
      </c>
      <c r="J4" t="s">
        <v>12</v>
      </c>
    </row>
    <row r="5" spans="1:10" x14ac:dyDescent="0.25">
      <c r="A5" t="s">
        <v>13</v>
      </c>
      <c r="B5">
        <v>-103.14071</v>
      </c>
      <c r="I5" t="s">
        <v>14</v>
      </c>
      <c r="J5" t="s">
        <v>15</v>
      </c>
    </row>
    <row r="6" spans="1:10" x14ac:dyDescent="0.25">
      <c r="I6" t="s">
        <v>16</v>
      </c>
      <c r="J6" t="s">
        <v>17</v>
      </c>
    </row>
    <row r="7" spans="1:10" x14ac:dyDescent="0.25">
      <c r="A7" s="8" t="s">
        <v>18</v>
      </c>
      <c r="I7" t="s">
        <v>19</v>
      </c>
    </row>
    <row r="8" spans="1:10" x14ac:dyDescent="0.25">
      <c r="A8" t="s">
        <v>20</v>
      </c>
      <c r="B8" s="35">
        <v>45448</v>
      </c>
    </row>
    <row r="9" spans="1:10" x14ac:dyDescent="0.25">
      <c r="A9" t="s">
        <v>21</v>
      </c>
      <c r="B9" t="s">
        <v>22</v>
      </c>
    </row>
    <row r="10" spans="1:10" x14ac:dyDescent="0.25">
      <c r="A10" t="s">
        <v>23</v>
      </c>
      <c r="B10" t="s">
        <v>24</v>
      </c>
    </row>
    <row r="11" spans="1:10" x14ac:dyDescent="0.25">
      <c r="A11" t="s">
        <v>25</v>
      </c>
      <c r="B11" t="s">
        <v>26</v>
      </c>
    </row>
    <row r="12" spans="1:10" x14ac:dyDescent="0.25">
      <c r="A12" t="s">
        <v>27</v>
      </c>
      <c r="B12" t="s">
        <v>28</v>
      </c>
    </row>
    <row r="14" spans="1:10" x14ac:dyDescent="0.25">
      <c r="A14" s="8" t="s">
        <v>29</v>
      </c>
    </row>
    <row r="15" spans="1:10" x14ac:dyDescent="0.25">
      <c r="A15" t="s">
        <v>30</v>
      </c>
      <c r="B15" t="s">
        <v>31</v>
      </c>
    </row>
    <row r="16" spans="1:10" x14ac:dyDescent="0.25">
      <c r="A16" t="s">
        <v>32</v>
      </c>
      <c r="B16" t="s">
        <v>33</v>
      </c>
    </row>
    <row r="17" spans="1:2" x14ac:dyDescent="0.25">
      <c r="A17" t="s">
        <v>34</v>
      </c>
      <c r="B17" t="s">
        <v>35</v>
      </c>
    </row>
    <row r="18" spans="1:2" x14ac:dyDescent="0.25">
      <c r="A18" t="s">
        <v>36</v>
      </c>
      <c r="B18" t="s">
        <v>37</v>
      </c>
    </row>
    <row r="19" spans="1:2" x14ac:dyDescent="0.25">
      <c r="A19" t="s">
        <v>38</v>
      </c>
      <c r="B19" t="s">
        <v>39</v>
      </c>
    </row>
    <row r="20" spans="1:2" x14ac:dyDescent="0.25">
      <c r="A20" t="s">
        <v>40</v>
      </c>
      <c r="B20" t="s">
        <v>41</v>
      </c>
    </row>
    <row r="22" spans="1:2" x14ac:dyDescent="0.25">
      <c r="A22" s="8" t="s">
        <v>42</v>
      </c>
    </row>
    <row r="23" spans="1:2" x14ac:dyDescent="0.25">
      <c r="A23" t="s">
        <v>43</v>
      </c>
      <c r="B23" s="33">
        <v>45555</v>
      </c>
    </row>
    <row r="24" spans="1:2" x14ac:dyDescent="0.25">
      <c r="A24" t="s">
        <v>44</v>
      </c>
      <c r="B24" t="s">
        <v>45</v>
      </c>
    </row>
    <row r="25" spans="1:2" x14ac:dyDescent="0.25">
      <c r="A25" t="s">
        <v>46</v>
      </c>
      <c r="B25" t="s">
        <v>47</v>
      </c>
    </row>
    <row r="29" spans="1:2" x14ac:dyDescent="0.25">
      <c r="A2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4036-9198-43C8-8EA3-48D45B6DE72B}">
  <sheetPr>
    <pageSetUpPr fitToPage="1"/>
  </sheetPr>
  <dimension ref="B1:Q45"/>
  <sheetViews>
    <sheetView topLeftCell="A21" zoomScale="85" zoomScaleNormal="85" workbookViewId="0">
      <selection activeCell="D33" sqref="D33:M33"/>
    </sheetView>
  </sheetViews>
  <sheetFormatPr defaultRowHeight="15" x14ac:dyDescent="0.25"/>
  <cols>
    <col min="1" max="1" width="5.42578125" customWidth="1"/>
    <col min="2" max="2" width="7.5703125" customWidth="1"/>
    <col min="4" max="4" width="8.7109375" customWidth="1"/>
    <col min="5" max="5" width="9.28515625" customWidth="1"/>
    <col min="6" max="6" width="9.140625" customWidth="1"/>
    <col min="7" max="8" width="9.28515625" customWidth="1"/>
    <col min="9" max="9" width="9.7109375" customWidth="1"/>
    <col min="10" max="11" width="9.5703125" customWidth="1"/>
    <col min="12" max="12" width="9.28515625" customWidth="1"/>
    <col min="13" max="13" width="9.7109375" customWidth="1"/>
    <col min="15" max="15" width="9.140625" customWidth="1"/>
    <col min="19" max="19" width="8.42578125" customWidth="1"/>
    <col min="20" max="20" width="10.5703125" customWidth="1"/>
  </cols>
  <sheetData>
    <row r="1" spans="2:15" ht="41.45" customHeight="1" x14ac:dyDescent="0.35">
      <c r="E1" s="135" t="s">
        <v>66</v>
      </c>
      <c r="F1" s="135"/>
      <c r="G1" s="135"/>
      <c r="H1" s="135"/>
      <c r="I1" s="135"/>
    </row>
    <row r="2" spans="2:15" ht="15.75" thickBot="1" x14ac:dyDescent="0.3">
      <c r="D2" s="19"/>
      <c r="E2" s="19"/>
      <c r="F2" s="19"/>
      <c r="G2" s="19"/>
      <c r="H2" s="19"/>
      <c r="I2" s="19"/>
      <c r="J2" s="19"/>
      <c r="K2" s="19"/>
      <c r="L2" s="19"/>
      <c r="M2" s="19"/>
    </row>
    <row r="3" spans="2:15" ht="40.9" customHeight="1" x14ac:dyDescent="0.25">
      <c r="B3" s="127" t="s">
        <v>67</v>
      </c>
      <c r="C3" s="132" t="s">
        <v>68</v>
      </c>
      <c r="D3" s="52">
        <v>9</v>
      </c>
      <c r="E3" s="53">
        <v>3</v>
      </c>
      <c r="F3" s="53">
        <v>2</v>
      </c>
      <c r="G3" s="53">
        <v>16</v>
      </c>
      <c r="H3" s="51">
        <v>8</v>
      </c>
      <c r="I3" s="52">
        <v>6</v>
      </c>
      <c r="J3" s="53">
        <v>19</v>
      </c>
      <c r="K3" s="53">
        <v>4</v>
      </c>
      <c r="L3" s="53">
        <v>14</v>
      </c>
      <c r="M3" s="51">
        <v>13</v>
      </c>
      <c r="N3" s="132" t="s">
        <v>68</v>
      </c>
      <c r="O3" s="127" t="s">
        <v>69</v>
      </c>
    </row>
    <row r="4" spans="2:15" x14ac:dyDescent="0.25">
      <c r="B4" s="128"/>
      <c r="C4" s="133"/>
      <c r="D4" s="43">
        <v>80</v>
      </c>
      <c r="E4" s="44">
        <v>79</v>
      </c>
      <c r="F4" s="44">
        <v>78</v>
      </c>
      <c r="G4" s="44">
        <v>77</v>
      </c>
      <c r="H4" s="45">
        <v>76</v>
      </c>
      <c r="I4" s="43">
        <v>160</v>
      </c>
      <c r="J4" s="44">
        <v>159</v>
      </c>
      <c r="K4" s="44">
        <v>158</v>
      </c>
      <c r="L4" s="44">
        <v>157</v>
      </c>
      <c r="M4" s="46">
        <v>156</v>
      </c>
      <c r="N4" s="133"/>
      <c r="O4" s="128"/>
    </row>
    <row r="5" spans="2:15" ht="40.9" customHeight="1" x14ac:dyDescent="0.25">
      <c r="B5" s="128"/>
      <c r="C5" s="133"/>
      <c r="D5" s="48">
        <v>10</v>
      </c>
      <c r="E5" s="49">
        <v>6</v>
      </c>
      <c r="F5" s="49">
        <v>1</v>
      </c>
      <c r="G5" s="49">
        <v>19</v>
      </c>
      <c r="H5" s="50">
        <v>5</v>
      </c>
      <c r="I5" s="48">
        <v>11</v>
      </c>
      <c r="J5" s="49">
        <v>8</v>
      </c>
      <c r="K5" s="49">
        <v>7</v>
      </c>
      <c r="L5" s="49">
        <v>18</v>
      </c>
      <c r="M5" s="50">
        <v>20</v>
      </c>
      <c r="N5" s="133"/>
      <c r="O5" s="128"/>
    </row>
    <row r="6" spans="2:15" s="10" customFormat="1" x14ac:dyDescent="0.25">
      <c r="B6" s="128"/>
      <c r="C6" s="133"/>
      <c r="D6" s="43">
        <v>71</v>
      </c>
      <c r="E6" s="44">
        <v>72</v>
      </c>
      <c r="F6" s="44">
        <v>73</v>
      </c>
      <c r="G6" s="44">
        <v>74</v>
      </c>
      <c r="H6" s="46">
        <v>152</v>
      </c>
      <c r="I6" s="43">
        <v>151</v>
      </c>
      <c r="J6" s="44">
        <v>152</v>
      </c>
      <c r="K6" s="44">
        <v>153</v>
      </c>
      <c r="L6" s="44">
        <v>154</v>
      </c>
      <c r="M6" s="46">
        <v>155</v>
      </c>
      <c r="N6" s="133"/>
      <c r="O6" s="128"/>
    </row>
    <row r="7" spans="2:15" ht="43.9" customHeight="1" x14ac:dyDescent="0.25">
      <c r="B7" s="128"/>
      <c r="C7" s="133"/>
      <c r="D7" s="48">
        <v>13</v>
      </c>
      <c r="E7" s="49">
        <v>14</v>
      </c>
      <c r="F7" s="49">
        <v>20</v>
      </c>
      <c r="G7" s="49">
        <v>17</v>
      </c>
      <c r="H7" s="50">
        <v>15</v>
      </c>
      <c r="I7" s="48">
        <v>9</v>
      </c>
      <c r="J7" s="49">
        <v>2</v>
      </c>
      <c r="K7" s="49">
        <v>12</v>
      </c>
      <c r="L7" s="49">
        <v>10</v>
      </c>
      <c r="M7" s="50">
        <v>16</v>
      </c>
      <c r="N7" s="133"/>
      <c r="O7" s="128"/>
    </row>
    <row r="8" spans="2:15" x14ac:dyDescent="0.25">
      <c r="B8" s="128"/>
      <c r="C8" s="133"/>
      <c r="D8" s="43">
        <v>70</v>
      </c>
      <c r="E8" s="44">
        <v>69</v>
      </c>
      <c r="F8" s="44">
        <v>68</v>
      </c>
      <c r="G8" s="44">
        <v>67</v>
      </c>
      <c r="H8" s="46">
        <v>66</v>
      </c>
      <c r="I8" s="43">
        <v>150</v>
      </c>
      <c r="J8" s="44">
        <v>149</v>
      </c>
      <c r="K8" s="44">
        <v>189</v>
      </c>
      <c r="L8" s="44">
        <v>147</v>
      </c>
      <c r="M8" s="46">
        <v>146</v>
      </c>
      <c r="N8" s="133"/>
      <c r="O8" s="128"/>
    </row>
    <row r="9" spans="2:15" s="10" customFormat="1" ht="40.9" customHeight="1" x14ac:dyDescent="0.25">
      <c r="B9" s="128"/>
      <c r="C9" s="133"/>
      <c r="D9" s="48">
        <v>7</v>
      </c>
      <c r="E9" s="49">
        <v>18</v>
      </c>
      <c r="F9" s="49">
        <v>11</v>
      </c>
      <c r="G9" s="49">
        <v>4</v>
      </c>
      <c r="H9" s="50">
        <v>12</v>
      </c>
      <c r="I9" s="48">
        <v>3</v>
      </c>
      <c r="J9" s="49">
        <v>15</v>
      </c>
      <c r="K9" s="49">
        <v>1</v>
      </c>
      <c r="L9" s="49">
        <v>17</v>
      </c>
      <c r="M9" s="50">
        <v>5</v>
      </c>
      <c r="N9" s="133"/>
      <c r="O9" s="128"/>
    </row>
    <row r="10" spans="2:15" ht="15.75" thickBot="1" x14ac:dyDescent="0.3">
      <c r="B10" s="129"/>
      <c r="C10" s="133"/>
      <c r="D10" s="39">
        <v>61</v>
      </c>
      <c r="E10" s="41">
        <v>62</v>
      </c>
      <c r="F10" s="41">
        <v>63</v>
      </c>
      <c r="G10" s="41">
        <v>64</v>
      </c>
      <c r="H10" s="37">
        <v>65</v>
      </c>
      <c r="I10" s="39">
        <v>141</v>
      </c>
      <c r="J10" s="41">
        <v>142</v>
      </c>
      <c r="K10" s="41">
        <v>143</v>
      </c>
      <c r="L10" s="41">
        <v>144</v>
      </c>
      <c r="M10" s="37">
        <v>145</v>
      </c>
      <c r="N10" s="133"/>
      <c r="O10" s="129"/>
    </row>
    <row r="11" spans="2:15" ht="43.9" customHeight="1" x14ac:dyDescent="0.25">
      <c r="B11" s="127" t="s">
        <v>70</v>
      </c>
      <c r="C11" s="133"/>
      <c r="D11" s="48">
        <v>12</v>
      </c>
      <c r="E11" s="49">
        <v>10</v>
      </c>
      <c r="F11" s="49">
        <v>5</v>
      </c>
      <c r="G11" s="49">
        <v>11</v>
      </c>
      <c r="H11" s="50">
        <v>3</v>
      </c>
      <c r="I11" s="48">
        <v>13</v>
      </c>
      <c r="J11" s="49">
        <v>7</v>
      </c>
      <c r="K11" s="49">
        <v>19</v>
      </c>
      <c r="L11" s="49">
        <v>20</v>
      </c>
      <c r="M11" s="51">
        <v>17</v>
      </c>
      <c r="N11" s="133"/>
      <c r="O11" s="127" t="s">
        <v>71</v>
      </c>
    </row>
    <row r="12" spans="2:15" s="10" customFormat="1" x14ac:dyDescent="0.25">
      <c r="B12" s="128"/>
      <c r="C12" s="133"/>
      <c r="D12" s="43">
        <v>60</v>
      </c>
      <c r="E12" s="44">
        <v>59</v>
      </c>
      <c r="F12" s="44">
        <v>58</v>
      </c>
      <c r="G12" s="44">
        <v>57</v>
      </c>
      <c r="H12" s="46">
        <v>56</v>
      </c>
      <c r="I12" s="43">
        <v>140</v>
      </c>
      <c r="J12" s="44">
        <v>139</v>
      </c>
      <c r="K12" s="44">
        <v>138</v>
      </c>
      <c r="L12" s="44">
        <v>137</v>
      </c>
      <c r="M12" s="46">
        <v>136</v>
      </c>
      <c r="N12" s="133"/>
      <c r="O12" s="128"/>
    </row>
    <row r="13" spans="2:15" ht="44.45" customHeight="1" x14ac:dyDescent="0.25">
      <c r="B13" s="128"/>
      <c r="C13" s="133"/>
      <c r="D13" s="48">
        <v>19</v>
      </c>
      <c r="E13" s="49">
        <v>1</v>
      </c>
      <c r="F13" s="49">
        <v>17</v>
      </c>
      <c r="G13" s="49">
        <v>14</v>
      </c>
      <c r="H13" s="50">
        <v>16</v>
      </c>
      <c r="I13" s="48">
        <v>12</v>
      </c>
      <c r="J13" s="49">
        <v>4</v>
      </c>
      <c r="K13" s="49">
        <v>18</v>
      </c>
      <c r="L13" s="49">
        <v>15</v>
      </c>
      <c r="M13" s="50">
        <v>2</v>
      </c>
      <c r="N13" s="133"/>
      <c r="O13" s="128"/>
    </row>
    <row r="14" spans="2:15" x14ac:dyDescent="0.25">
      <c r="B14" s="128"/>
      <c r="C14" s="133"/>
      <c r="D14" s="43">
        <v>51</v>
      </c>
      <c r="E14" s="44">
        <v>52</v>
      </c>
      <c r="F14" s="44">
        <v>53</v>
      </c>
      <c r="G14" s="44">
        <v>54</v>
      </c>
      <c r="H14" s="46">
        <v>55</v>
      </c>
      <c r="I14" s="43">
        <v>131</v>
      </c>
      <c r="J14" s="44">
        <v>132</v>
      </c>
      <c r="K14" s="44">
        <v>133</v>
      </c>
      <c r="L14" s="44">
        <v>134</v>
      </c>
      <c r="M14" s="46">
        <v>135</v>
      </c>
      <c r="N14" s="133"/>
      <c r="O14" s="128"/>
    </row>
    <row r="15" spans="2:15" s="10" customFormat="1" ht="45" customHeight="1" x14ac:dyDescent="0.25">
      <c r="B15" s="128"/>
      <c r="C15" s="133"/>
      <c r="D15" s="48">
        <v>2</v>
      </c>
      <c r="E15" s="49">
        <v>9</v>
      </c>
      <c r="F15" s="49">
        <v>18</v>
      </c>
      <c r="G15" s="49">
        <v>15</v>
      </c>
      <c r="H15" s="50">
        <v>20</v>
      </c>
      <c r="I15" s="48">
        <v>10</v>
      </c>
      <c r="J15" s="49">
        <v>16</v>
      </c>
      <c r="K15" s="49">
        <v>6</v>
      </c>
      <c r="L15" s="49">
        <v>8</v>
      </c>
      <c r="M15" s="50">
        <v>11</v>
      </c>
      <c r="N15" s="133"/>
      <c r="O15" s="128"/>
    </row>
    <row r="16" spans="2:15" x14ac:dyDescent="0.25">
      <c r="B16" s="128"/>
      <c r="C16" s="133"/>
      <c r="D16" s="43">
        <v>50</v>
      </c>
      <c r="E16" s="44">
        <v>49</v>
      </c>
      <c r="F16" s="44">
        <v>48</v>
      </c>
      <c r="G16" s="44">
        <v>47</v>
      </c>
      <c r="H16" s="45">
        <v>46</v>
      </c>
      <c r="I16" s="43">
        <v>130</v>
      </c>
      <c r="J16" s="44">
        <v>129</v>
      </c>
      <c r="K16" s="44">
        <v>128</v>
      </c>
      <c r="L16" s="44">
        <v>127</v>
      </c>
      <c r="M16" s="46">
        <v>126</v>
      </c>
      <c r="N16" s="133"/>
      <c r="O16" s="128"/>
    </row>
    <row r="17" spans="2:17" ht="45" customHeight="1" x14ac:dyDescent="0.25">
      <c r="B17" s="128"/>
      <c r="C17" s="133"/>
      <c r="D17" s="48">
        <v>8</v>
      </c>
      <c r="E17" s="49">
        <v>13</v>
      </c>
      <c r="F17" s="49">
        <v>7</v>
      </c>
      <c r="G17" s="49">
        <v>6</v>
      </c>
      <c r="H17" s="50">
        <v>4</v>
      </c>
      <c r="I17" s="48">
        <v>5</v>
      </c>
      <c r="J17" s="49">
        <v>1</v>
      </c>
      <c r="K17" s="49">
        <v>14</v>
      </c>
      <c r="L17" s="49">
        <v>9</v>
      </c>
      <c r="M17" s="50">
        <v>3</v>
      </c>
      <c r="N17" s="133"/>
      <c r="O17" s="128"/>
    </row>
    <row r="18" spans="2:17" s="10" customFormat="1" ht="15.75" thickBot="1" x14ac:dyDescent="0.3">
      <c r="B18" s="129"/>
      <c r="C18" s="133"/>
      <c r="D18" s="39">
        <v>41</v>
      </c>
      <c r="E18" s="41">
        <v>42</v>
      </c>
      <c r="F18" s="41">
        <v>43</v>
      </c>
      <c r="G18" s="41">
        <v>44</v>
      </c>
      <c r="H18" s="37">
        <v>45</v>
      </c>
      <c r="I18" s="39">
        <v>121</v>
      </c>
      <c r="J18" s="41">
        <v>122</v>
      </c>
      <c r="K18" s="41">
        <v>123</v>
      </c>
      <c r="L18" s="41">
        <v>124</v>
      </c>
      <c r="M18" s="37">
        <v>125</v>
      </c>
      <c r="N18" s="133"/>
      <c r="O18" s="129"/>
    </row>
    <row r="19" spans="2:17" ht="43.9" customHeight="1" x14ac:dyDescent="0.25">
      <c r="B19" s="127" t="s">
        <v>72</v>
      </c>
      <c r="C19" s="133"/>
      <c r="D19" s="48">
        <v>16</v>
      </c>
      <c r="E19" s="49">
        <v>19</v>
      </c>
      <c r="F19" s="49">
        <v>9</v>
      </c>
      <c r="G19" s="49">
        <v>7</v>
      </c>
      <c r="H19" s="50">
        <v>6</v>
      </c>
      <c r="I19" s="48">
        <v>20</v>
      </c>
      <c r="J19" s="49">
        <v>14</v>
      </c>
      <c r="K19" s="49">
        <v>10</v>
      </c>
      <c r="L19" s="49">
        <v>11</v>
      </c>
      <c r="M19" s="50">
        <v>1</v>
      </c>
      <c r="N19" s="133"/>
      <c r="O19" s="127" t="s">
        <v>73</v>
      </c>
    </row>
    <row r="20" spans="2:17" x14ac:dyDescent="0.25">
      <c r="B20" s="128"/>
      <c r="C20" s="133"/>
      <c r="D20" s="43">
        <v>40</v>
      </c>
      <c r="E20" s="44">
        <v>39</v>
      </c>
      <c r="F20" s="44">
        <v>38</v>
      </c>
      <c r="G20" s="44">
        <v>37</v>
      </c>
      <c r="H20" s="45">
        <v>36</v>
      </c>
      <c r="I20" s="43">
        <v>120</v>
      </c>
      <c r="J20" s="44">
        <v>119</v>
      </c>
      <c r="K20" s="44">
        <v>118</v>
      </c>
      <c r="L20" s="44">
        <v>117</v>
      </c>
      <c r="M20" s="46">
        <v>116</v>
      </c>
      <c r="N20" s="133"/>
      <c r="O20" s="128"/>
    </row>
    <row r="21" spans="2:17" s="10" customFormat="1" ht="45" customHeight="1" x14ac:dyDescent="0.25">
      <c r="B21" s="128"/>
      <c r="C21" s="133"/>
      <c r="D21" s="48">
        <v>3</v>
      </c>
      <c r="E21" s="49">
        <v>12</v>
      </c>
      <c r="F21" s="49">
        <v>8</v>
      </c>
      <c r="G21" s="49">
        <v>2</v>
      </c>
      <c r="H21" s="50">
        <v>13</v>
      </c>
      <c r="I21" s="48">
        <v>18</v>
      </c>
      <c r="J21" s="49">
        <v>5</v>
      </c>
      <c r="K21" s="49">
        <v>15</v>
      </c>
      <c r="L21" s="49">
        <v>19</v>
      </c>
      <c r="M21" s="50">
        <v>6</v>
      </c>
      <c r="N21" s="133"/>
      <c r="O21" s="128"/>
    </row>
    <row r="22" spans="2:17" x14ac:dyDescent="0.25">
      <c r="B22" s="128"/>
      <c r="C22" s="133"/>
      <c r="D22" s="43">
        <v>31</v>
      </c>
      <c r="E22" s="44">
        <v>32</v>
      </c>
      <c r="F22" s="44">
        <v>33</v>
      </c>
      <c r="G22" s="44">
        <v>34</v>
      </c>
      <c r="H22" s="45">
        <v>35</v>
      </c>
      <c r="I22" s="43">
        <v>111</v>
      </c>
      <c r="J22" s="44">
        <v>112</v>
      </c>
      <c r="K22" s="44">
        <v>113</v>
      </c>
      <c r="L22" s="44">
        <v>114</v>
      </c>
      <c r="M22" s="46">
        <v>115</v>
      </c>
      <c r="N22" s="133"/>
      <c r="O22" s="128"/>
    </row>
    <row r="23" spans="2:17" ht="44.45" customHeight="1" x14ac:dyDescent="0.25">
      <c r="B23" s="128"/>
      <c r="C23" s="133"/>
      <c r="D23" s="48">
        <v>14</v>
      </c>
      <c r="E23" s="49">
        <v>5</v>
      </c>
      <c r="F23" s="49">
        <v>10</v>
      </c>
      <c r="G23" s="49">
        <v>1</v>
      </c>
      <c r="H23" s="50">
        <v>17</v>
      </c>
      <c r="I23" s="48">
        <v>4</v>
      </c>
      <c r="J23" s="49">
        <v>12</v>
      </c>
      <c r="K23" s="49">
        <v>16</v>
      </c>
      <c r="L23" s="49">
        <v>13</v>
      </c>
      <c r="M23" s="50">
        <v>7</v>
      </c>
      <c r="N23" s="133"/>
      <c r="O23" s="128"/>
    </row>
    <row r="24" spans="2:17" s="10" customFormat="1" x14ac:dyDescent="0.25">
      <c r="B24" s="128"/>
      <c r="C24" s="133"/>
      <c r="D24" s="43">
        <v>30</v>
      </c>
      <c r="E24" s="44">
        <v>29</v>
      </c>
      <c r="F24" s="44">
        <v>28</v>
      </c>
      <c r="G24" s="44">
        <v>27</v>
      </c>
      <c r="H24" s="46">
        <v>26</v>
      </c>
      <c r="I24" s="43">
        <v>110</v>
      </c>
      <c r="J24" s="44">
        <v>109</v>
      </c>
      <c r="K24" s="44">
        <v>108</v>
      </c>
      <c r="L24" s="44">
        <v>107</v>
      </c>
      <c r="M24" s="46">
        <v>106</v>
      </c>
      <c r="N24" s="133"/>
      <c r="O24" s="128"/>
    </row>
    <row r="25" spans="2:17" ht="46.15" customHeight="1" x14ac:dyDescent="0.25">
      <c r="B25" s="128"/>
      <c r="C25" s="133"/>
      <c r="D25" s="48">
        <v>6</v>
      </c>
      <c r="E25" s="49">
        <v>15</v>
      </c>
      <c r="F25" s="49">
        <v>4</v>
      </c>
      <c r="G25" s="49">
        <v>20</v>
      </c>
      <c r="H25" s="50">
        <v>18</v>
      </c>
      <c r="I25" s="48">
        <v>2</v>
      </c>
      <c r="J25" s="49">
        <v>17</v>
      </c>
      <c r="K25" s="49">
        <v>8</v>
      </c>
      <c r="L25" s="49">
        <v>3</v>
      </c>
      <c r="M25" s="50">
        <v>9</v>
      </c>
      <c r="N25" s="133"/>
      <c r="O25" s="128"/>
      <c r="Q25" t="s">
        <v>74</v>
      </c>
    </row>
    <row r="26" spans="2:17" ht="15.75" thickBot="1" x14ac:dyDescent="0.3">
      <c r="B26" s="129"/>
      <c r="C26" s="133"/>
      <c r="D26" s="39">
        <v>21</v>
      </c>
      <c r="E26" s="41">
        <v>22</v>
      </c>
      <c r="F26" s="41">
        <v>23</v>
      </c>
      <c r="G26" s="41">
        <v>24</v>
      </c>
      <c r="H26" s="38">
        <v>25</v>
      </c>
      <c r="I26" s="39">
        <v>101</v>
      </c>
      <c r="J26" s="41">
        <v>102</v>
      </c>
      <c r="K26" s="41">
        <v>103</v>
      </c>
      <c r="L26" s="41">
        <v>104</v>
      </c>
      <c r="M26" s="37">
        <v>105</v>
      </c>
      <c r="N26" s="133"/>
      <c r="O26" s="129"/>
      <c r="Q26" t="s">
        <v>75</v>
      </c>
    </row>
    <row r="27" spans="2:17" s="10" customFormat="1" ht="41.45" customHeight="1" x14ac:dyDescent="0.25">
      <c r="B27" s="127" t="s">
        <v>76</v>
      </c>
      <c r="C27" s="133"/>
      <c r="D27" s="48">
        <v>18</v>
      </c>
      <c r="E27" s="49">
        <v>20</v>
      </c>
      <c r="F27" s="49">
        <v>14</v>
      </c>
      <c r="G27" s="49">
        <v>3</v>
      </c>
      <c r="H27" s="50">
        <v>2</v>
      </c>
      <c r="I27" s="48">
        <v>19</v>
      </c>
      <c r="J27" s="49">
        <v>11</v>
      </c>
      <c r="K27" s="49">
        <v>5</v>
      </c>
      <c r="L27" s="49">
        <v>4</v>
      </c>
      <c r="M27" s="50">
        <v>12</v>
      </c>
      <c r="N27" s="133"/>
      <c r="O27" s="127" t="s">
        <v>77</v>
      </c>
    </row>
    <row r="28" spans="2:17" x14ac:dyDescent="0.25">
      <c r="B28" s="128"/>
      <c r="C28" s="133"/>
      <c r="D28" s="43">
        <v>20</v>
      </c>
      <c r="E28" s="44">
        <v>19</v>
      </c>
      <c r="F28" s="44">
        <v>18</v>
      </c>
      <c r="G28" s="44">
        <v>17</v>
      </c>
      <c r="H28" s="46">
        <v>16</v>
      </c>
      <c r="I28" s="43">
        <v>100</v>
      </c>
      <c r="J28" s="44">
        <v>99</v>
      </c>
      <c r="K28" s="44">
        <v>98</v>
      </c>
      <c r="L28" s="44">
        <v>97</v>
      </c>
      <c r="M28" s="46">
        <v>96</v>
      </c>
      <c r="N28" s="133"/>
      <c r="O28" s="128"/>
    </row>
    <row r="29" spans="2:17" ht="43.9" customHeight="1" x14ac:dyDescent="0.25">
      <c r="B29" s="128"/>
      <c r="C29" s="133"/>
      <c r="D29" s="48">
        <v>11</v>
      </c>
      <c r="E29" s="49">
        <v>7</v>
      </c>
      <c r="F29" s="49">
        <v>12</v>
      </c>
      <c r="G29" s="49">
        <v>8</v>
      </c>
      <c r="H29" s="50">
        <v>9</v>
      </c>
      <c r="I29" s="48">
        <v>14</v>
      </c>
      <c r="J29" s="49">
        <v>18</v>
      </c>
      <c r="K29" s="49">
        <v>17</v>
      </c>
      <c r="L29" s="49">
        <v>16</v>
      </c>
      <c r="M29" s="50">
        <v>15</v>
      </c>
      <c r="N29" s="133"/>
      <c r="O29" s="128"/>
      <c r="Q29" s="10"/>
    </row>
    <row r="30" spans="2:17" s="10" customFormat="1" ht="21" x14ac:dyDescent="0.35">
      <c r="B30" s="128"/>
      <c r="C30" s="133"/>
      <c r="D30" s="43">
        <v>11</v>
      </c>
      <c r="E30" s="44">
        <v>12</v>
      </c>
      <c r="F30" s="44">
        <v>13</v>
      </c>
      <c r="G30" s="44">
        <v>14</v>
      </c>
      <c r="H30" s="46">
        <v>15</v>
      </c>
      <c r="I30" s="43">
        <v>91</v>
      </c>
      <c r="J30" s="44">
        <v>92</v>
      </c>
      <c r="K30" s="44">
        <v>93</v>
      </c>
      <c r="L30" s="44">
        <v>94</v>
      </c>
      <c r="M30" s="46">
        <v>95</v>
      </c>
      <c r="N30" s="133"/>
      <c r="O30" s="128"/>
      <c r="Q30" s="32" t="s">
        <v>78</v>
      </c>
    </row>
    <row r="31" spans="2:17" ht="46.15" customHeight="1" x14ac:dyDescent="0.25">
      <c r="B31" s="128"/>
      <c r="C31" s="133"/>
      <c r="D31" s="48">
        <v>17</v>
      </c>
      <c r="E31" s="49">
        <v>4</v>
      </c>
      <c r="F31" s="49">
        <v>13</v>
      </c>
      <c r="G31" s="49">
        <v>5</v>
      </c>
      <c r="H31" s="50">
        <v>1</v>
      </c>
      <c r="I31" s="48">
        <v>7</v>
      </c>
      <c r="J31" s="49">
        <v>20</v>
      </c>
      <c r="K31" s="49">
        <v>9</v>
      </c>
      <c r="L31" s="49">
        <v>6</v>
      </c>
      <c r="M31" s="50">
        <v>10</v>
      </c>
      <c r="N31" s="133"/>
      <c r="O31" s="128"/>
    </row>
    <row r="32" spans="2:17" x14ac:dyDescent="0.25">
      <c r="B32" s="128"/>
      <c r="C32" s="133"/>
      <c r="D32" s="43">
        <v>10</v>
      </c>
      <c r="E32" s="44">
        <v>9</v>
      </c>
      <c r="F32" s="44">
        <v>8</v>
      </c>
      <c r="G32" s="44">
        <v>7</v>
      </c>
      <c r="H32" s="46">
        <v>6</v>
      </c>
      <c r="I32" s="43">
        <v>90</v>
      </c>
      <c r="J32" s="44">
        <v>89</v>
      </c>
      <c r="K32" s="44">
        <v>88</v>
      </c>
      <c r="L32" s="44">
        <v>87</v>
      </c>
      <c r="M32" s="46">
        <v>86</v>
      </c>
      <c r="N32" s="133"/>
      <c r="O32" s="128"/>
    </row>
    <row r="33" spans="2:16" s="10" customFormat="1" ht="44.45" customHeight="1" x14ac:dyDescent="0.25">
      <c r="B33" s="128"/>
      <c r="C33" s="133"/>
      <c r="D33" s="48">
        <v>15</v>
      </c>
      <c r="E33" s="49">
        <v>11</v>
      </c>
      <c r="F33" s="49">
        <v>16</v>
      </c>
      <c r="G33" s="49">
        <v>10</v>
      </c>
      <c r="H33" s="50">
        <v>19</v>
      </c>
      <c r="I33" s="48">
        <v>1</v>
      </c>
      <c r="J33" s="49">
        <v>3</v>
      </c>
      <c r="K33" s="49">
        <v>13</v>
      </c>
      <c r="L33" s="49">
        <v>2</v>
      </c>
      <c r="M33" s="50">
        <v>8</v>
      </c>
      <c r="N33" s="133"/>
      <c r="O33" s="128"/>
    </row>
    <row r="34" spans="2:16" s="5" customFormat="1" ht="15.75" thickBot="1" x14ac:dyDescent="0.3">
      <c r="B34" s="129"/>
      <c r="C34" s="134"/>
      <c r="D34" s="40">
        <v>1</v>
      </c>
      <c r="E34" s="42">
        <v>2</v>
      </c>
      <c r="F34" s="42">
        <v>3</v>
      </c>
      <c r="G34" s="42">
        <v>4</v>
      </c>
      <c r="H34" s="36">
        <v>5</v>
      </c>
      <c r="I34" s="40">
        <v>81</v>
      </c>
      <c r="J34" s="42">
        <v>82</v>
      </c>
      <c r="K34" s="42">
        <v>83</v>
      </c>
      <c r="L34" s="42">
        <v>84</v>
      </c>
      <c r="M34" s="36">
        <v>85</v>
      </c>
      <c r="N34" s="134"/>
      <c r="O34" s="129"/>
    </row>
    <row r="35" spans="2:16" ht="15.75" x14ac:dyDescent="0.25">
      <c r="D35" s="47" t="s">
        <v>79</v>
      </c>
      <c r="E35" s="47" t="s">
        <v>80</v>
      </c>
      <c r="F35" s="47" t="s">
        <v>81</v>
      </c>
      <c r="G35" s="47" t="s">
        <v>82</v>
      </c>
      <c r="H35" s="47" t="s">
        <v>83</v>
      </c>
      <c r="I35" s="47" t="s">
        <v>84</v>
      </c>
      <c r="J35" s="47" t="s">
        <v>85</v>
      </c>
      <c r="K35" s="47" t="s">
        <v>86</v>
      </c>
      <c r="L35" s="47" t="s">
        <v>87</v>
      </c>
      <c r="M35" s="47" t="s">
        <v>88</v>
      </c>
    </row>
    <row r="36" spans="2:16" s="10" customFormat="1" x14ac:dyDescent="0.25"/>
    <row r="37" spans="2:16" ht="15.75" thickBot="1" x14ac:dyDescent="0.3">
      <c r="C37" s="19"/>
      <c r="D37" s="19"/>
      <c r="E37" s="19"/>
      <c r="F37" s="19"/>
      <c r="G37" s="19"/>
      <c r="H37" s="19"/>
      <c r="J37" s="19"/>
      <c r="L37" s="19"/>
      <c r="M37" s="19"/>
      <c r="N37" s="19"/>
      <c r="O37" s="19"/>
    </row>
    <row r="38" spans="2:16" ht="20.45" customHeight="1" x14ac:dyDescent="0.25">
      <c r="C38" s="130" t="s">
        <v>89</v>
      </c>
      <c r="D38" s="131"/>
      <c r="E38" s="131"/>
      <c r="F38" s="131"/>
      <c r="G38" s="131"/>
      <c r="H38" s="24" t="s">
        <v>90</v>
      </c>
      <c r="I38" s="25"/>
      <c r="J38" s="25"/>
      <c r="K38" s="25"/>
      <c r="L38" s="25"/>
      <c r="M38" s="25"/>
      <c r="O38" s="21"/>
    </row>
    <row r="39" spans="2:16" ht="20.45" customHeight="1" x14ac:dyDescent="0.25">
      <c r="C39" s="12" t="s">
        <v>91</v>
      </c>
      <c r="D39" s="13"/>
      <c r="E39" s="13"/>
      <c r="F39" s="14"/>
      <c r="G39" s="14"/>
      <c r="H39" s="29"/>
      <c r="I39" s="28"/>
      <c r="L39" s="28"/>
      <c r="M39" s="28"/>
      <c r="N39" s="28"/>
      <c r="O39" s="27"/>
      <c r="P39" s="22"/>
    </row>
    <row r="40" spans="2:16" ht="20.45" customHeight="1" x14ac:dyDescent="0.25">
      <c r="C40" s="12" t="s">
        <v>92</v>
      </c>
      <c r="D40" s="15"/>
      <c r="E40" s="15"/>
      <c r="F40" s="125"/>
      <c r="G40" s="126"/>
      <c r="H40" s="29"/>
      <c r="I40" s="28"/>
      <c r="J40" s="28"/>
      <c r="K40" s="28"/>
      <c r="P40" s="22"/>
    </row>
    <row r="41" spans="2:16" ht="20.45" customHeight="1" x14ac:dyDescent="0.25">
      <c r="C41" s="12" t="s">
        <v>93</v>
      </c>
      <c r="D41" s="13"/>
      <c r="E41" s="122">
        <v>45828</v>
      </c>
      <c r="F41" s="122"/>
      <c r="G41" s="122"/>
      <c r="H41" s="29"/>
      <c r="J41" s="28"/>
      <c r="L41" s="26"/>
      <c r="M41" s="28"/>
      <c r="N41" s="28"/>
      <c r="O41" s="27"/>
      <c r="P41" s="22"/>
    </row>
    <row r="42" spans="2:16" ht="20.45" customHeight="1" x14ac:dyDescent="0.25">
      <c r="C42" s="118" t="s">
        <v>94</v>
      </c>
      <c r="D42" s="119"/>
      <c r="E42" s="119"/>
      <c r="F42" s="119"/>
      <c r="G42" s="16" t="s">
        <v>95</v>
      </c>
      <c r="H42" s="29"/>
      <c r="I42" s="26"/>
      <c r="K42" s="28"/>
      <c r="L42" s="28"/>
      <c r="M42" s="28"/>
      <c r="N42" s="28"/>
      <c r="O42" s="27"/>
      <c r="P42" s="22"/>
    </row>
    <row r="43" spans="2:16" ht="20.45" customHeight="1" x14ac:dyDescent="0.25">
      <c r="C43" s="123" t="s">
        <v>96</v>
      </c>
      <c r="D43" s="124"/>
      <c r="E43" s="124"/>
      <c r="F43" s="17"/>
      <c r="G43" s="18" t="s">
        <v>97</v>
      </c>
      <c r="H43" s="11"/>
      <c r="I43" s="26"/>
      <c r="J43" s="28"/>
      <c r="L43" s="28"/>
      <c r="N43" s="28"/>
      <c r="O43" s="27"/>
      <c r="P43" s="22"/>
    </row>
    <row r="44" spans="2:16" ht="20.45" customHeight="1" thickBot="1" x14ac:dyDescent="0.3">
      <c r="C44" s="120" t="s">
        <v>98</v>
      </c>
      <c r="D44" s="121"/>
      <c r="E44" s="121"/>
      <c r="F44" s="121"/>
      <c r="G44" s="23" t="s">
        <v>99</v>
      </c>
      <c r="H44" s="31" t="s">
        <v>100</v>
      </c>
      <c r="I44" s="30"/>
      <c r="J44" s="19"/>
      <c r="K44" s="30"/>
      <c r="M44" s="30"/>
      <c r="N44" s="19"/>
      <c r="O44" s="19"/>
      <c r="P44" s="22"/>
    </row>
    <row r="45" spans="2:16" x14ac:dyDescent="0.25">
      <c r="L45" s="20"/>
    </row>
  </sheetData>
  <mergeCells count="17">
    <mergeCell ref="O3:O10"/>
    <mergeCell ref="O11:O18"/>
    <mergeCell ref="O19:O26"/>
    <mergeCell ref="O27:O34"/>
    <mergeCell ref="E1:I1"/>
    <mergeCell ref="N3:N34"/>
    <mergeCell ref="B27:B34"/>
    <mergeCell ref="B19:B26"/>
    <mergeCell ref="B11:B18"/>
    <mergeCell ref="B3:B10"/>
    <mergeCell ref="C38:G38"/>
    <mergeCell ref="C3:C34"/>
    <mergeCell ref="C42:F42"/>
    <mergeCell ref="C44:F44"/>
    <mergeCell ref="E41:G41"/>
    <mergeCell ref="C43:E43"/>
    <mergeCell ref="F40:G40"/>
  </mergeCells>
  <conditionalFormatting sqref="D3 D5 D7 D9 D11 D13 D15 D17 D19 D21 D23 D25 D27 D29 D31 D33">
    <cfRule type="duplicateValues" dxfId="25" priority="26"/>
  </conditionalFormatting>
  <conditionalFormatting sqref="D3:M3">
    <cfRule type="duplicateValues" dxfId="24" priority="16"/>
  </conditionalFormatting>
  <conditionalFormatting sqref="D5:M5">
    <cfRule type="duplicateValues" dxfId="23" priority="15"/>
  </conditionalFormatting>
  <conditionalFormatting sqref="D7:M7">
    <cfRule type="duplicateValues" dxfId="22" priority="14"/>
  </conditionalFormatting>
  <conditionalFormatting sqref="D9:M9">
    <cfRule type="duplicateValues" dxfId="21" priority="13"/>
  </conditionalFormatting>
  <conditionalFormatting sqref="D11:M11">
    <cfRule type="duplicateValues" dxfId="20" priority="12"/>
  </conditionalFormatting>
  <conditionalFormatting sqref="D13:M13">
    <cfRule type="duplicateValues" dxfId="19" priority="11"/>
  </conditionalFormatting>
  <conditionalFormatting sqref="D15:M15">
    <cfRule type="duplicateValues" dxfId="18" priority="10"/>
  </conditionalFormatting>
  <conditionalFormatting sqref="D17:M17">
    <cfRule type="duplicateValues" dxfId="17" priority="9"/>
  </conditionalFormatting>
  <conditionalFormatting sqref="D19:M19">
    <cfRule type="duplicateValues" dxfId="16" priority="8"/>
  </conditionalFormatting>
  <conditionalFormatting sqref="D21:M21">
    <cfRule type="duplicateValues" dxfId="15" priority="7"/>
  </conditionalFormatting>
  <conditionalFormatting sqref="D23:M23">
    <cfRule type="duplicateValues" dxfId="14" priority="6"/>
  </conditionalFormatting>
  <conditionalFormatting sqref="D25:M25">
    <cfRule type="duplicateValues" dxfId="13" priority="5"/>
  </conditionalFormatting>
  <conditionalFormatting sqref="D27:M27">
    <cfRule type="duplicateValues" dxfId="12" priority="4"/>
  </conditionalFormatting>
  <conditionalFormatting sqref="D29:M29">
    <cfRule type="duplicateValues" dxfId="11" priority="3"/>
  </conditionalFormatting>
  <conditionalFormatting sqref="D31:M31">
    <cfRule type="duplicateValues" dxfId="10" priority="2"/>
  </conditionalFormatting>
  <conditionalFormatting sqref="D33:M33">
    <cfRule type="duplicateValues" dxfId="9" priority="1"/>
  </conditionalFormatting>
  <conditionalFormatting sqref="E3 E5 E7 E9 E11 E13 E15 E17 E19 E21 E23 E25 E27 E29 E31 E33">
    <cfRule type="duplicateValues" dxfId="8" priority="25"/>
  </conditionalFormatting>
  <conditionalFormatting sqref="F3 F5 F7 F9 F11 F13 F15 F17 F19 F21 F23 F25 F27 F29 F31 F33">
    <cfRule type="duplicateValues" dxfId="7" priority="24"/>
  </conditionalFormatting>
  <conditionalFormatting sqref="G3 G5 G7 G9 G11 G13 G15 G17 G19 G21 G23 G25 G27 G29 G31 G33">
    <cfRule type="duplicateValues" dxfId="6" priority="23"/>
  </conditionalFormatting>
  <conditionalFormatting sqref="H3 H5 H7 H9 H11 H13 H15 H17 H19 H21 H23 H25 H27 H29 H31 H33">
    <cfRule type="duplicateValues" dxfId="5" priority="22"/>
  </conditionalFormatting>
  <conditionalFormatting sqref="I3 I5 I7 I9 I11 I13 I15 I17 I19 I21 I23 I25 I27 I29 I31 I33">
    <cfRule type="duplicateValues" dxfId="4" priority="21"/>
  </conditionalFormatting>
  <conditionalFormatting sqref="J3 J5 J7 J9 J11 J13 J15 J17 J19 J21 J23 J25 J27 J29 J31 J33">
    <cfRule type="duplicateValues" dxfId="3" priority="20"/>
  </conditionalFormatting>
  <conditionalFormatting sqref="K3 K5 K7 K9 K11 K13 K15 K17 K19 K21 K23 K25 K27 K29 K31 K33">
    <cfRule type="duplicateValues" dxfId="2" priority="19"/>
  </conditionalFormatting>
  <conditionalFormatting sqref="L3 L5 L7 L9 L11 L13 L15 L17 L19 L21 L23 L25 L27 L29 L31 L33">
    <cfRule type="duplicateValues" dxfId="1" priority="18"/>
  </conditionalFormatting>
  <conditionalFormatting sqref="M3 M5 M7 M9 M11 M13 M15 M17 M19 M21 M23 M25 M27 M29 M31 M33">
    <cfRule type="duplicateValues" dxfId="0" priority="17"/>
  </conditionalFormatting>
  <printOptions horizontalCentered="1" verticalCentered="1"/>
  <pageMargins left="0.7" right="0.7" top="0.75" bottom="0.75" header="0.3" footer="0.3"/>
  <pageSetup scale="48"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BF71-7ADA-4BBF-8406-461F6CA62AA0}">
  <dimension ref="A3:L32"/>
  <sheetViews>
    <sheetView workbookViewId="0">
      <selection activeCell="T30" sqref="T30"/>
    </sheetView>
  </sheetViews>
  <sheetFormatPr defaultRowHeight="15" x14ac:dyDescent="0.25"/>
  <cols>
    <col min="1" max="1" width="13.28515625" bestFit="1" customWidth="1"/>
    <col min="2" max="2" width="24.5703125" bestFit="1" customWidth="1"/>
    <col min="3" max="3" width="23" bestFit="1" customWidth="1"/>
    <col min="4" max="4" width="19.5703125" bestFit="1" customWidth="1"/>
    <col min="7" max="7" width="13.28515625" bestFit="1" customWidth="1"/>
  </cols>
  <sheetData>
    <row r="3" spans="1:12" ht="15.75" thickBot="1" x14ac:dyDescent="0.3">
      <c r="A3" s="114" t="s">
        <v>214</v>
      </c>
      <c r="B3" t="s">
        <v>230</v>
      </c>
      <c r="C3" t="s">
        <v>216</v>
      </c>
      <c r="D3" t="s">
        <v>217</v>
      </c>
      <c r="G3" s="115"/>
      <c r="H3" s="115" t="s">
        <v>218</v>
      </c>
      <c r="I3" s="115" t="s">
        <v>140</v>
      </c>
      <c r="J3" t="s">
        <v>199</v>
      </c>
      <c r="K3" s="116" t="s">
        <v>229</v>
      </c>
      <c r="L3" s="115" t="s">
        <v>231</v>
      </c>
    </row>
    <row r="4" spans="1:12" x14ac:dyDescent="0.25">
      <c r="A4" s="5" t="s">
        <v>212</v>
      </c>
      <c r="B4">
        <v>9</v>
      </c>
      <c r="C4">
        <v>15.0625</v>
      </c>
      <c r="D4">
        <v>57.087499999999999</v>
      </c>
      <c r="F4" t="s">
        <v>226</v>
      </c>
      <c r="G4" s="5" t="s">
        <v>204</v>
      </c>
      <c r="H4" s="34">
        <v>16.850000000000001</v>
      </c>
      <c r="I4" s="34">
        <v>58.325000000000003</v>
      </c>
      <c r="J4" s="112">
        <v>97.755899999999997</v>
      </c>
      <c r="K4" s="112">
        <v>4887.8</v>
      </c>
      <c r="L4">
        <v>1</v>
      </c>
    </row>
    <row r="5" spans="1:12" x14ac:dyDescent="0.25">
      <c r="A5" s="5" t="s">
        <v>210</v>
      </c>
      <c r="B5">
        <v>7</v>
      </c>
      <c r="C5">
        <v>14.0625</v>
      </c>
      <c r="D5">
        <v>57.3</v>
      </c>
      <c r="F5" t="s">
        <v>228</v>
      </c>
      <c r="G5" s="5" t="s">
        <v>205</v>
      </c>
      <c r="H5" s="34">
        <v>14.799999999999999</v>
      </c>
      <c r="I5" s="34">
        <v>57.4375</v>
      </c>
      <c r="J5" s="99">
        <v>88.356700000000004</v>
      </c>
      <c r="K5" s="99">
        <v>4417.84</v>
      </c>
      <c r="L5">
        <v>2</v>
      </c>
    </row>
    <row r="6" spans="1:12" x14ac:dyDescent="0.25">
      <c r="A6" s="5" t="s">
        <v>209</v>
      </c>
      <c r="B6">
        <v>6</v>
      </c>
      <c r="C6">
        <v>15.112499999999999</v>
      </c>
      <c r="D6">
        <v>57.95</v>
      </c>
      <c r="F6" t="s">
        <v>227</v>
      </c>
      <c r="G6" s="5" t="s">
        <v>206</v>
      </c>
      <c r="H6" s="34">
        <v>16.5625</v>
      </c>
      <c r="I6" s="34">
        <v>58.487500000000004</v>
      </c>
      <c r="J6" s="99">
        <v>96.426900000000003</v>
      </c>
      <c r="K6" s="99">
        <v>4821.3500000000004</v>
      </c>
      <c r="L6">
        <v>3</v>
      </c>
    </row>
    <row r="7" spans="1:12" x14ac:dyDescent="0.25">
      <c r="A7" s="5" t="s">
        <v>213</v>
      </c>
      <c r="B7">
        <v>10</v>
      </c>
      <c r="C7">
        <v>14.075000000000001</v>
      </c>
      <c r="D7">
        <v>56.1875</v>
      </c>
      <c r="F7" t="s">
        <v>223</v>
      </c>
      <c r="G7" s="5" t="s">
        <v>207</v>
      </c>
      <c r="H7" s="34">
        <v>15.124999999999998</v>
      </c>
      <c r="I7" s="34">
        <v>57.5625</v>
      </c>
      <c r="J7" s="99">
        <v>95.981899999999996</v>
      </c>
      <c r="K7" s="99">
        <v>4799.1000000000004</v>
      </c>
      <c r="L7">
        <v>4</v>
      </c>
    </row>
    <row r="8" spans="1:12" x14ac:dyDescent="0.25">
      <c r="A8" s="5" t="s">
        <v>207</v>
      </c>
      <c r="B8">
        <v>4</v>
      </c>
      <c r="C8">
        <v>15.124999999999998</v>
      </c>
      <c r="D8">
        <v>57.5625</v>
      </c>
      <c r="F8" t="s">
        <v>225</v>
      </c>
      <c r="G8" s="5" t="s">
        <v>208</v>
      </c>
      <c r="H8" s="34">
        <v>17.150000000000002</v>
      </c>
      <c r="I8" s="34">
        <v>58.1</v>
      </c>
      <c r="J8" s="99">
        <v>91.986099999999993</v>
      </c>
      <c r="K8" s="99">
        <v>4599.3</v>
      </c>
      <c r="L8">
        <v>5</v>
      </c>
    </row>
    <row r="9" spans="1:12" x14ac:dyDescent="0.25">
      <c r="A9" s="5" t="s">
        <v>211</v>
      </c>
      <c r="B9">
        <v>8</v>
      </c>
      <c r="C9">
        <v>14.749999999999998</v>
      </c>
      <c r="D9">
        <v>57.975000000000001</v>
      </c>
      <c r="F9" t="s">
        <v>221</v>
      </c>
      <c r="G9" s="5" t="s">
        <v>209</v>
      </c>
      <c r="H9" s="34">
        <v>15.112499999999999</v>
      </c>
      <c r="I9" s="34">
        <v>57.95</v>
      </c>
      <c r="J9" s="99">
        <v>89.010599999999997</v>
      </c>
      <c r="K9" s="99">
        <v>4450.53</v>
      </c>
      <c r="L9">
        <v>6</v>
      </c>
    </row>
    <row r="10" spans="1:12" x14ac:dyDescent="0.25">
      <c r="A10" s="5" t="s">
        <v>208</v>
      </c>
      <c r="B10">
        <v>5</v>
      </c>
      <c r="C10">
        <v>17.150000000000002</v>
      </c>
      <c r="D10">
        <v>58.1</v>
      </c>
      <c r="F10" t="s">
        <v>220</v>
      </c>
      <c r="G10" s="5" t="s">
        <v>210</v>
      </c>
      <c r="H10" s="34">
        <v>14.0625</v>
      </c>
      <c r="I10" s="34">
        <v>57.3</v>
      </c>
      <c r="J10" s="99">
        <v>90.784000000000006</v>
      </c>
      <c r="K10" s="99">
        <v>4539.2</v>
      </c>
      <c r="L10">
        <v>7</v>
      </c>
    </row>
    <row r="11" spans="1:12" x14ac:dyDescent="0.25">
      <c r="A11" s="5" t="s">
        <v>204</v>
      </c>
      <c r="B11">
        <v>1</v>
      </c>
      <c r="C11">
        <v>16.850000000000001</v>
      </c>
      <c r="D11">
        <v>58.325000000000003</v>
      </c>
      <c r="F11" t="s">
        <v>224</v>
      </c>
      <c r="G11" s="5" t="s">
        <v>211</v>
      </c>
      <c r="H11" s="34">
        <v>14.749999999999998</v>
      </c>
      <c r="I11" s="34">
        <v>57.975000000000001</v>
      </c>
      <c r="J11" s="99">
        <v>87.714100000000002</v>
      </c>
      <c r="K11" s="99">
        <v>4385.7</v>
      </c>
      <c r="L11">
        <v>8</v>
      </c>
    </row>
    <row r="12" spans="1:12" x14ac:dyDescent="0.25">
      <c r="A12" s="5" t="s">
        <v>206</v>
      </c>
      <c r="B12">
        <v>3</v>
      </c>
      <c r="C12">
        <v>16.5625</v>
      </c>
      <c r="D12">
        <v>58.487500000000004</v>
      </c>
      <c r="F12" t="s">
        <v>219</v>
      </c>
      <c r="G12" s="5" t="s">
        <v>212</v>
      </c>
      <c r="H12" s="34">
        <v>15.0625</v>
      </c>
      <c r="I12" s="34">
        <v>57.087499999999999</v>
      </c>
      <c r="J12" s="99">
        <v>80.397499999999994</v>
      </c>
      <c r="K12" s="99">
        <v>4019.87</v>
      </c>
      <c r="L12">
        <v>9</v>
      </c>
    </row>
    <row r="13" spans="1:12" x14ac:dyDescent="0.25">
      <c r="A13" s="5" t="s">
        <v>205</v>
      </c>
      <c r="B13">
        <v>2</v>
      </c>
      <c r="C13">
        <v>14.799999999999999</v>
      </c>
      <c r="D13">
        <v>57.4375</v>
      </c>
      <c r="F13" t="s">
        <v>222</v>
      </c>
      <c r="G13" s="5" t="s">
        <v>213</v>
      </c>
      <c r="H13" s="34">
        <v>14.075000000000001</v>
      </c>
      <c r="I13" s="34">
        <v>56.1875</v>
      </c>
      <c r="J13" s="99">
        <v>98.883799999999994</v>
      </c>
      <c r="K13" s="99">
        <v>4944.1899999999996</v>
      </c>
      <c r="L13">
        <v>10</v>
      </c>
    </row>
    <row r="14" spans="1:12" x14ac:dyDescent="0.25">
      <c r="A14" s="5" t="s">
        <v>56</v>
      </c>
      <c r="B14">
        <v>11</v>
      </c>
      <c r="C14">
        <v>14.450000000000001</v>
      </c>
      <c r="D14">
        <v>57.7</v>
      </c>
      <c r="G14" s="5" t="s">
        <v>56</v>
      </c>
      <c r="H14" s="34">
        <v>14.450000000000001</v>
      </c>
      <c r="I14" s="34">
        <v>57.7</v>
      </c>
      <c r="J14" s="99">
        <v>84.357699999999994</v>
      </c>
      <c r="K14" s="99">
        <v>4217.88</v>
      </c>
      <c r="L14">
        <v>11</v>
      </c>
    </row>
    <row r="15" spans="1:12" x14ac:dyDescent="0.25">
      <c r="A15" s="5" t="s">
        <v>60</v>
      </c>
      <c r="B15">
        <v>13</v>
      </c>
      <c r="C15">
        <v>13.4625</v>
      </c>
      <c r="D15">
        <v>57.300000000000004</v>
      </c>
      <c r="G15" s="5" t="s">
        <v>62</v>
      </c>
      <c r="H15" s="34">
        <v>14.3125</v>
      </c>
      <c r="I15" s="34">
        <v>57.400000000000006</v>
      </c>
      <c r="J15" s="99">
        <v>82.7834</v>
      </c>
      <c r="K15" s="99">
        <v>4139.17</v>
      </c>
      <c r="L15">
        <v>12</v>
      </c>
    </row>
    <row r="16" spans="1:12" x14ac:dyDescent="0.25">
      <c r="A16" s="5" t="s">
        <v>63</v>
      </c>
      <c r="B16">
        <v>14</v>
      </c>
      <c r="C16">
        <v>14.562499999999998</v>
      </c>
      <c r="D16">
        <v>58.050000000000011</v>
      </c>
      <c r="G16" s="5" t="s">
        <v>60</v>
      </c>
      <c r="H16" s="34">
        <v>13.4625</v>
      </c>
      <c r="I16" s="34">
        <v>57.300000000000004</v>
      </c>
      <c r="J16" s="99">
        <v>77.195999999999998</v>
      </c>
      <c r="K16" s="99">
        <v>3859.8</v>
      </c>
      <c r="L16">
        <v>13</v>
      </c>
    </row>
    <row r="17" spans="1:12" x14ac:dyDescent="0.25">
      <c r="A17" s="5" t="s">
        <v>61</v>
      </c>
      <c r="B17">
        <v>17</v>
      </c>
      <c r="C17">
        <v>14.6875</v>
      </c>
      <c r="D17">
        <v>58.162500000000001</v>
      </c>
      <c r="G17" s="5" t="s">
        <v>63</v>
      </c>
      <c r="H17" s="34">
        <v>14.562499999999998</v>
      </c>
      <c r="I17" s="34">
        <v>58.050000000000011</v>
      </c>
      <c r="J17" s="99">
        <v>81.056799999999996</v>
      </c>
      <c r="K17" s="99">
        <v>4052.84</v>
      </c>
      <c r="L17">
        <v>14</v>
      </c>
    </row>
    <row r="18" spans="1:12" x14ac:dyDescent="0.25">
      <c r="A18" s="5" t="s">
        <v>65</v>
      </c>
      <c r="B18">
        <v>18</v>
      </c>
      <c r="C18">
        <v>15.9</v>
      </c>
      <c r="D18">
        <v>58.150000000000006</v>
      </c>
      <c r="G18" s="5" t="s">
        <v>55</v>
      </c>
      <c r="H18" s="34">
        <v>16.1875</v>
      </c>
      <c r="I18" s="34">
        <v>58.35</v>
      </c>
      <c r="J18" s="99">
        <v>95.314700000000002</v>
      </c>
      <c r="K18" s="99">
        <v>4765.74</v>
      </c>
      <c r="L18">
        <v>15</v>
      </c>
    </row>
    <row r="19" spans="1:12" x14ac:dyDescent="0.25">
      <c r="A19" s="5" t="s">
        <v>64</v>
      </c>
      <c r="B19">
        <v>20</v>
      </c>
      <c r="C19">
        <v>14.787499999999998</v>
      </c>
      <c r="D19">
        <v>58.087499999999999</v>
      </c>
      <c r="G19" s="5" t="s">
        <v>57</v>
      </c>
      <c r="H19" s="34">
        <v>15.7875</v>
      </c>
      <c r="I19" s="34">
        <v>58.162500000000001</v>
      </c>
      <c r="J19" s="99">
        <v>91.726299999999995</v>
      </c>
      <c r="K19" s="99">
        <v>4586.3100000000004</v>
      </c>
      <c r="L19">
        <v>16</v>
      </c>
    </row>
    <row r="20" spans="1:12" x14ac:dyDescent="0.25">
      <c r="A20" s="5" t="s">
        <v>57</v>
      </c>
      <c r="B20">
        <v>16</v>
      </c>
      <c r="C20">
        <v>15.7875</v>
      </c>
      <c r="D20">
        <v>58.162500000000001</v>
      </c>
      <c r="G20" s="5" t="s">
        <v>61</v>
      </c>
      <c r="H20" s="34">
        <v>14.6875</v>
      </c>
      <c r="I20" s="34">
        <v>58.162500000000001</v>
      </c>
      <c r="J20" s="99">
        <v>85.463300000000004</v>
      </c>
      <c r="K20" s="99">
        <v>4273.17</v>
      </c>
      <c r="L20">
        <v>17</v>
      </c>
    </row>
    <row r="21" spans="1:12" x14ac:dyDescent="0.25">
      <c r="A21" s="5" t="s">
        <v>55</v>
      </c>
      <c r="B21">
        <v>15</v>
      </c>
      <c r="C21">
        <v>16.1875</v>
      </c>
      <c r="D21">
        <v>58.35</v>
      </c>
      <c r="G21" s="5" t="s">
        <v>65</v>
      </c>
      <c r="H21" s="34">
        <v>15.9</v>
      </c>
      <c r="I21" s="34">
        <v>58.150000000000006</v>
      </c>
      <c r="J21" s="99">
        <v>100.04</v>
      </c>
      <c r="K21" s="99">
        <v>5001.8999999999996</v>
      </c>
      <c r="L21">
        <v>18</v>
      </c>
    </row>
    <row r="22" spans="1:12" x14ac:dyDescent="0.25">
      <c r="A22" s="5" t="s">
        <v>59</v>
      </c>
      <c r="B22">
        <v>19</v>
      </c>
      <c r="C22">
        <v>16.849999999999998</v>
      </c>
      <c r="D22">
        <v>58.212499999999999</v>
      </c>
      <c r="G22" s="5" t="s">
        <v>59</v>
      </c>
      <c r="H22" s="34">
        <v>16.849999999999998</v>
      </c>
      <c r="I22" s="34">
        <v>58.212499999999999</v>
      </c>
      <c r="J22" s="99">
        <v>98.635599999999997</v>
      </c>
      <c r="K22" s="99">
        <v>4931.78</v>
      </c>
      <c r="L22">
        <v>19</v>
      </c>
    </row>
    <row r="23" spans="1:12" x14ac:dyDescent="0.25">
      <c r="A23" s="5" t="s">
        <v>62</v>
      </c>
      <c r="B23">
        <v>12</v>
      </c>
      <c r="C23">
        <v>14.3125</v>
      </c>
      <c r="D23">
        <v>57.400000000000006</v>
      </c>
      <c r="G23" s="5" t="s">
        <v>64</v>
      </c>
      <c r="H23" s="34">
        <v>14.787499999999998</v>
      </c>
      <c r="I23" s="34">
        <v>58.087499999999999</v>
      </c>
      <c r="J23" s="99">
        <v>83.388499999999993</v>
      </c>
      <c r="K23" s="99">
        <v>4169.43</v>
      </c>
      <c r="L23">
        <v>20</v>
      </c>
    </row>
    <row r="24" spans="1:12" x14ac:dyDescent="0.25">
      <c r="A24" s="5" t="s">
        <v>215</v>
      </c>
      <c r="B24">
        <v>10.5</v>
      </c>
      <c r="C24">
        <v>15.226875000000007</v>
      </c>
      <c r="D24">
        <v>57.799375000000033</v>
      </c>
    </row>
    <row r="31" spans="1:12" x14ac:dyDescent="0.25">
      <c r="J31" s="117"/>
    </row>
    <row r="32" spans="1:12" x14ac:dyDescent="0.25">
      <c r="J32" s="117"/>
    </row>
  </sheetData>
  <sortState xmlns:xlrd2="http://schemas.microsoft.com/office/spreadsheetml/2017/richdata2" ref="F4:L23">
    <sortCondition ref="L4:L2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82FE-78D0-4085-A1B6-4B38D0A5FAF0}">
  <sheetPr>
    <pageSetUpPr fitToPage="1"/>
  </sheetPr>
  <dimension ref="A1:AC162"/>
  <sheetViews>
    <sheetView zoomScaleNormal="100" workbookViewId="0">
      <selection activeCell="P27" sqref="P27"/>
    </sheetView>
  </sheetViews>
  <sheetFormatPr defaultColWidth="9.28515625" defaultRowHeight="15" x14ac:dyDescent="0.25"/>
  <cols>
    <col min="1" max="1" width="9.28515625" style="1"/>
    <col min="2" max="2" width="16.28515625" style="5" bestFit="1" customWidth="1"/>
    <col min="3" max="9" width="9.28515625" style="1"/>
    <col min="10" max="10" width="0" style="1" hidden="1" customWidth="1"/>
    <col min="11" max="12" width="8.7109375" style="1" hidden="1" customWidth="1"/>
    <col min="13" max="13" width="14.85546875" style="1" bestFit="1" customWidth="1"/>
    <col min="14" max="14" width="11.42578125" style="1" customWidth="1"/>
    <col min="15" max="18" width="9.28515625" style="1"/>
    <col min="19" max="19" width="12.140625" style="1" customWidth="1"/>
    <col min="20" max="21" width="9.28515625" style="1"/>
    <col min="22" max="22" width="14.85546875" style="1" bestFit="1" customWidth="1"/>
    <col min="23" max="23" width="6.42578125" style="1" bestFit="1" customWidth="1"/>
    <col min="24" max="24" width="4.85546875" style="1" bestFit="1" customWidth="1"/>
    <col min="25" max="25" width="6.28515625" style="1" bestFit="1" customWidth="1"/>
    <col min="26" max="26" width="11" style="1" bestFit="1" customWidth="1"/>
    <col min="27" max="27" width="12.42578125" style="1" bestFit="1" customWidth="1"/>
    <col min="28" max="28" width="18.5703125" style="1" bestFit="1" customWidth="1"/>
    <col min="29" max="29" width="17" style="1" bestFit="1" customWidth="1"/>
    <col min="30" max="16384" width="9.28515625" style="1"/>
  </cols>
  <sheetData>
    <row r="1" spans="1:29" ht="21" x14ac:dyDescent="0.35">
      <c r="A1" s="136" t="s">
        <v>48</v>
      </c>
      <c r="B1" s="136"/>
    </row>
    <row r="2" spans="1:29" s="2" customFormat="1" ht="45" x14ac:dyDescent="0.25">
      <c r="A2" s="2" t="s">
        <v>49</v>
      </c>
      <c r="B2" s="6" t="s">
        <v>50</v>
      </c>
      <c r="C2" s="3" t="s">
        <v>51</v>
      </c>
      <c r="D2" s="3" t="s">
        <v>52</v>
      </c>
      <c r="E2" s="2" t="s">
        <v>53</v>
      </c>
      <c r="F2" s="2" t="s">
        <v>113</v>
      </c>
      <c r="G2" s="2" t="s">
        <v>114</v>
      </c>
      <c r="H2" s="3" t="s">
        <v>109</v>
      </c>
      <c r="I2" s="3" t="s">
        <v>110</v>
      </c>
      <c r="J2" s="3" t="s">
        <v>101</v>
      </c>
      <c r="K2" s="54" t="s">
        <v>102</v>
      </c>
      <c r="L2" s="54" t="s">
        <v>111</v>
      </c>
      <c r="M2" s="3" t="s">
        <v>103</v>
      </c>
      <c r="N2" s="3" t="s">
        <v>104</v>
      </c>
      <c r="O2" s="3" t="s">
        <v>105</v>
      </c>
      <c r="P2" s="57" t="s">
        <v>117</v>
      </c>
      <c r="Q2" s="3" t="s">
        <v>107</v>
      </c>
      <c r="R2" s="3" t="s">
        <v>108</v>
      </c>
      <c r="S2" s="3"/>
      <c r="V2" t="s">
        <v>112</v>
      </c>
      <c r="W2" t="s">
        <v>113</v>
      </c>
      <c r="X2" t="s">
        <v>114</v>
      </c>
      <c r="Y2" t="s">
        <v>115</v>
      </c>
      <c r="Z2" t="s">
        <v>116</v>
      </c>
      <c r="AA2" t="s">
        <v>105</v>
      </c>
      <c r="AB2" t="s">
        <v>106</v>
      </c>
      <c r="AC2" t="s">
        <v>103</v>
      </c>
    </row>
    <row r="3" spans="1:29" x14ac:dyDescent="0.25">
      <c r="A3" s="5" t="s">
        <v>58</v>
      </c>
      <c r="B3" s="7" t="s">
        <v>204</v>
      </c>
      <c r="C3" s="1">
        <v>1</v>
      </c>
      <c r="D3" s="1">
        <v>81</v>
      </c>
      <c r="E3" s="1">
        <v>5</v>
      </c>
      <c r="F3">
        <v>1</v>
      </c>
      <c r="G3">
        <v>6</v>
      </c>
      <c r="H3" s="1">
        <v>13.4</v>
      </c>
      <c r="I3" s="1">
        <v>57.1</v>
      </c>
      <c r="J3" s="1">
        <v>29.5</v>
      </c>
      <c r="K3" s="1">
        <v>6.33</v>
      </c>
      <c r="L3" s="34">
        <f t="shared" ref="L3:L34" si="0">J3*K3</f>
        <v>186.73500000000001</v>
      </c>
      <c r="M3" s="55">
        <v>45922.60361111111</v>
      </c>
      <c r="N3" s="1">
        <v>21.66</v>
      </c>
      <c r="O3" s="1">
        <v>18.399999999999999</v>
      </c>
      <c r="P3" s="1">
        <v>58.7</v>
      </c>
      <c r="Q3" s="56">
        <f t="shared" ref="Q3:Q34" si="1">((43560/L3)*(N3)*((100-O3)/88))</f>
        <v>4685.1994537713872</v>
      </c>
      <c r="R3" s="34">
        <f t="shared" ref="R3:R34" si="2">Q3/50</f>
        <v>93.703989075427742</v>
      </c>
      <c r="V3" s="55">
        <v>45922.529861111114</v>
      </c>
      <c r="W3">
        <v>1</v>
      </c>
      <c r="X3">
        <v>1</v>
      </c>
      <c r="Y3">
        <v>1</v>
      </c>
      <c r="Z3">
        <v>23.1</v>
      </c>
      <c r="AA3">
        <v>15.6</v>
      </c>
      <c r="AB3">
        <v>56.9</v>
      </c>
      <c r="AC3">
        <v>1</v>
      </c>
    </row>
    <row r="4" spans="1:29" x14ac:dyDescent="0.25">
      <c r="A4" s="5" t="s">
        <v>58</v>
      </c>
      <c r="B4" s="7" t="s">
        <v>204</v>
      </c>
      <c r="C4" s="1">
        <v>1</v>
      </c>
      <c r="D4" s="98">
        <v>21</v>
      </c>
      <c r="E4" s="1">
        <v>2</v>
      </c>
      <c r="F4">
        <v>5</v>
      </c>
      <c r="G4">
        <v>1</v>
      </c>
      <c r="H4" s="1">
        <v>12.7</v>
      </c>
      <c r="I4" s="1">
        <v>56</v>
      </c>
      <c r="J4" s="1">
        <v>29.5</v>
      </c>
      <c r="K4" s="1">
        <v>6.33</v>
      </c>
      <c r="L4" s="34">
        <f t="shared" si="0"/>
        <v>186.73500000000001</v>
      </c>
      <c r="M4" s="55">
        <v>45922.533171296294</v>
      </c>
      <c r="N4" s="1">
        <v>16.809999999999999</v>
      </c>
      <c r="O4" s="1">
        <v>16</v>
      </c>
      <c r="P4" s="1">
        <v>58.4</v>
      </c>
      <c r="Q4" s="56">
        <f t="shared" si="1"/>
        <v>3743.0572736766003</v>
      </c>
      <c r="R4" s="34">
        <f t="shared" si="2"/>
        <v>74.861145473532005</v>
      </c>
      <c r="V4" s="55">
        <v>45922.557141203702</v>
      </c>
      <c r="W4">
        <v>1</v>
      </c>
      <c r="X4">
        <v>2</v>
      </c>
      <c r="Y4">
        <v>2</v>
      </c>
      <c r="Z4">
        <v>19.010000000000002</v>
      </c>
      <c r="AA4">
        <v>14.4</v>
      </c>
      <c r="AB4">
        <v>57.5</v>
      </c>
      <c r="AC4">
        <v>27</v>
      </c>
    </row>
    <row r="5" spans="1:29" x14ac:dyDescent="0.25">
      <c r="A5" s="5" t="s">
        <v>58</v>
      </c>
      <c r="B5" s="7" t="s">
        <v>204</v>
      </c>
      <c r="C5" s="1">
        <v>1</v>
      </c>
      <c r="D5" s="1">
        <v>27</v>
      </c>
      <c r="E5" s="1">
        <v>2</v>
      </c>
      <c r="F5">
        <v>6</v>
      </c>
      <c r="G5">
        <v>4</v>
      </c>
      <c r="H5" s="1">
        <v>13.1</v>
      </c>
      <c r="I5" s="1">
        <v>57.1</v>
      </c>
      <c r="J5" s="1">
        <v>29.5</v>
      </c>
      <c r="K5" s="1">
        <v>6.33</v>
      </c>
      <c r="L5" s="34">
        <f t="shared" si="0"/>
        <v>186.73500000000001</v>
      </c>
      <c r="M5" s="55">
        <v>45922.57608796296</v>
      </c>
      <c r="N5" s="1">
        <v>23.09</v>
      </c>
      <c r="O5" s="1">
        <v>15.6</v>
      </c>
      <c r="P5" s="1">
        <v>58.2</v>
      </c>
      <c r="Q5" s="56">
        <f t="shared" si="1"/>
        <v>5165.8983050847455</v>
      </c>
      <c r="R5" s="34">
        <f t="shared" si="2"/>
        <v>103.31796610169491</v>
      </c>
      <c r="V5" s="55">
        <v>45922.558148148149</v>
      </c>
      <c r="W5">
        <v>1</v>
      </c>
      <c r="X5">
        <v>3</v>
      </c>
      <c r="Y5">
        <v>3</v>
      </c>
      <c r="Z5">
        <v>21.78</v>
      </c>
      <c r="AA5">
        <v>15.7</v>
      </c>
      <c r="AB5">
        <v>57.6</v>
      </c>
      <c r="AC5">
        <v>28</v>
      </c>
    </row>
    <row r="6" spans="1:29" x14ac:dyDescent="0.25">
      <c r="A6" s="5" t="s">
        <v>58</v>
      </c>
      <c r="B6" s="7" t="s">
        <v>204</v>
      </c>
      <c r="C6" s="1">
        <v>1</v>
      </c>
      <c r="D6" s="1">
        <v>116</v>
      </c>
      <c r="E6" s="1">
        <v>6</v>
      </c>
      <c r="F6">
        <v>8</v>
      </c>
      <c r="G6">
        <v>10</v>
      </c>
      <c r="H6" s="1">
        <v>13.2</v>
      </c>
      <c r="I6" s="1">
        <v>55.9</v>
      </c>
      <c r="J6" s="1">
        <v>29.5</v>
      </c>
      <c r="K6" s="1">
        <v>6.33</v>
      </c>
      <c r="L6" s="34">
        <f t="shared" si="0"/>
        <v>186.73500000000001</v>
      </c>
      <c r="M6" s="55">
        <v>45922.655601851853</v>
      </c>
      <c r="N6" s="1">
        <v>22.24</v>
      </c>
      <c r="O6" s="1">
        <v>16.899999999999999</v>
      </c>
      <c r="P6" s="1">
        <v>58.7</v>
      </c>
      <c r="Q6" s="56">
        <f t="shared" si="1"/>
        <v>4899.08844083862</v>
      </c>
      <c r="R6" s="34">
        <f t="shared" si="2"/>
        <v>97.981768816772401</v>
      </c>
      <c r="V6" s="55">
        <v>45922.581886574073</v>
      </c>
      <c r="W6">
        <v>1</v>
      </c>
      <c r="X6">
        <v>4</v>
      </c>
      <c r="Y6">
        <v>4</v>
      </c>
      <c r="Z6">
        <v>22.5</v>
      </c>
      <c r="AA6">
        <v>11.7</v>
      </c>
      <c r="AB6">
        <v>55.2</v>
      </c>
      <c r="AC6">
        <v>59</v>
      </c>
    </row>
    <row r="7" spans="1:29" x14ac:dyDescent="0.25">
      <c r="A7" s="5" t="s">
        <v>58</v>
      </c>
      <c r="B7" s="7" t="s">
        <v>204</v>
      </c>
      <c r="C7" s="1">
        <v>1</v>
      </c>
      <c r="D7" s="1">
        <v>122</v>
      </c>
      <c r="E7" s="1">
        <v>7</v>
      </c>
      <c r="F7">
        <v>9</v>
      </c>
      <c r="G7">
        <v>7</v>
      </c>
      <c r="H7" s="1">
        <v>13.7</v>
      </c>
      <c r="I7" s="1">
        <v>57.5</v>
      </c>
      <c r="J7" s="1">
        <v>29.5</v>
      </c>
      <c r="K7" s="1">
        <v>6.33</v>
      </c>
      <c r="L7" s="34">
        <f t="shared" si="0"/>
        <v>186.73500000000001</v>
      </c>
      <c r="M7" s="55">
        <v>45922.620451388888</v>
      </c>
      <c r="N7" s="1">
        <v>24.29</v>
      </c>
      <c r="O7" s="1">
        <v>17.5</v>
      </c>
      <c r="P7" s="1">
        <v>58.3</v>
      </c>
      <c r="Q7" s="56">
        <f t="shared" si="1"/>
        <v>5312.035103221142</v>
      </c>
      <c r="R7" s="34">
        <f t="shared" si="2"/>
        <v>106.24070206442283</v>
      </c>
      <c r="V7" s="55">
        <v>45922.583136574074</v>
      </c>
      <c r="W7">
        <v>1</v>
      </c>
      <c r="X7">
        <v>5</v>
      </c>
      <c r="Y7">
        <v>5</v>
      </c>
      <c r="Z7">
        <v>22.34</v>
      </c>
      <c r="AA7">
        <v>17.7</v>
      </c>
      <c r="AB7">
        <v>58</v>
      </c>
      <c r="AC7">
        <v>60</v>
      </c>
    </row>
    <row r="8" spans="1:29" x14ac:dyDescent="0.25">
      <c r="A8" s="5" t="s">
        <v>58</v>
      </c>
      <c r="B8" s="7" t="s">
        <v>204</v>
      </c>
      <c r="C8" s="1">
        <v>1</v>
      </c>
      <c r="D8" s="1">
        <v>52</v>
      </c>
      <c r="E8" s="1">
        <v>3</v>
      </c>
      <c r="F8">
        <v>11</v>
      </c>
      <c r="G8">
        <v>2</v>
      </c>
      <c r="H8" s="1">
        <v>14</v>
      </c>
      <c r="I8" s="1">
        <v>56.5</v>
      </c>
      <c r="J8" s="1">
        <v>29.5</v>
      </c>
      <c r="K8" s="1">
        <v>6.33</v>
      </c>
      <c r="L8" s="34">
        <f t="shared" si="0"/>
        <v>186.73500000000001</v>
      </c>
      <c r="M8" s="55">
        <v>45922.550185185188</v>
      </c>
      <c r="N8" s="1">
        <v>21.96</v>
      </c>
      <c r="O8" s="1">
        <v>17.5</v>
      </c>
      <c r="P8" s="1">
        <v>58.3</v>
      </c>
      <c r="Q8" s="56">
        <f t="shared" si="1"/>
        <v>4802.4821270784805</v>
      </c>
      <c r="R8" s="34">
        <f t="shared" si="2"/>
        <v>96.049642541569611</v>
      </c>
      <c r="V8" s="55">
        <v>45922.583773148152</v>
      </c>
      <c r="W8">
        <v>2</v>
      </c>
      <c r="X8">
        <v>5</v>
      </c>
      <c r="Y8">
        <v>6</v>
      </c>
      <c r="Z8">
        <v>21.42</v>
      </c>
      <c r="AA8">
        <v>17.2</v>
      </c>
      <c r="AB8">
        <v>58.4</v>
      </c>
      <c r="AC8">
        <v>61</v>
      </c>
    </row>
    <row r="9" spans="1:29" x14ac:dyDescent="0.25">
      <c r="A9" s="5" t="s">
        <v>58</v>
      </c>
      <c r="B9" s="7" t="s">
        <v>204</v>
      </c>
      <c r="C9" s="1">
        <v>1</v>
      </c>
      <c r="D9" s="1">
        <v>143</v>
      </c>
      <c r="E9" s="1">
        <v>8</v>
      </c>
      <c r="F9">
        <v>13</v>
      </c>
      <c r="G9">
        <v>8</v>
      </c>
      <c r="H9" s="1">
        <v>13.6</v>
      </c>
      <c r="I9" s="1">
        <v>56.6</v>
      </c>
      <c r="J9" s="1">
        <v>29.5</v>
      </c>
      <c r="K9" s="1">
        <v>6.33</v>
      </c>
      <c r="L9" s="34">
        <f t="shared" si="0"/>
        <v>186.73500000000001</v>
      </c>
      <c r="M9" s="55">
        <v>45922.637777777774</v>
      </c>
      <c r="N9" s="1">
        <v>22.84</v>
      </c>
      <c r="O9" s="1">
        <v>17.3</v>
      </c>
      <c r="P9" s="1">
        <v>58.5</v>
      </c>
      <c r="Q9" s="56">
        <f t="shared" si="1"/>
        <v>5007.0402441963206</v>
      </c>
      <c r="R9" s="34">
        <f t="shared" si="2"/>
        <v>100.14080488392641</v>
      </c>
      <c r="V9" s="55">
        <v>45922.581226851849</v>
      </c>
      <c r="W9">
        <v>2</v>
      </c>
      <c r="X9">
        <v>4</v>
      </c>
      <c r="Y9">
        <v>7</v>
      </c>
      <c r="Z9">
        <v>20.58</v>
      </c>
      <c r="AA9">
        <v>15.9</v>
      </c>
      <c r="AB9">
        <v>57.6</v>
      </c>
      <c r="AC9">
        <v>58</v>
      </c>
    </row>
    <row r="10" spans="1:29" x14ac:dyDescent="0.25">
      <c r="A10" s="5" t="s">
        <v>58</v>
      </c>
      <c r="B10" s="7" t="s">
        <v>204</v>
      </c>
      <c r="C10" s="1">
        <v>1</v>
      </c>
      <c r="D10" s="1">
        <v>73</v>
      </c>
      <c r="E10" s="1">
        <v>4</v>
      </c>
      <c r="F10">
        <v>15</v>
      </c>
      <c r="G10">
        <v>3</v>
      </c>
      <c r="H10" s="1">
        <v>13.1</v>
      </c>
      <c r="I10" s="1">
        <v>55.1</v>
      </c>
      <c r="J10" s="1">
        <v>29.5</v>
      </c>
      <c r="K10" s="1">
        <v>6.33</v>
      </c>
      <c r="L10" s="34">
        <f t="shared" si="0"/>
        <v>186.73500000000001</v>
      </c>
      <c r="M10" s="55">
        <v>45922.567708333336</v>
      </c>
      <c r="N10" s="1">
        <v>19.47</v>
      </c>
      <c r="O10" s="1">
        <v>15.6</v>
      </c>
      <c r="P10" s="1">
        <v>57.5</v>
      </c>
      <c r="Q10" s="56">
        <f t="shared" si="1"/>
        <v>4356</v>
      </c>
      <c r="R10" s="34">
        <f t="shared" si="2"/>
        <v>87.12</v>
      </c>
      <c r="V10" s="55">
        <v>45922.55872685185</v>
      </c>
      <c r="W10">
        <v>2</v>
      </c>
      <c r="X10">
        <v>3</v>
      </c>
      <c r="Y10">
        <v>8</v>
      </c>
      <c r="Z10">
        <v>16.2</v>
      </c>
      <c r="AA10">
        <v>13.6</v>
      </c>
      <c r="AB10">
        <v>56.9</v>
      </c>
      <c r="AC10">
        <v>29</v>
      </c>
    </row>
    <row r="11" spans="1:29" x14ac:dyDescent="0.25">
      <c r="A11" s="5" t="s">
        <v>58</v>
      </c>
      <c r="B11" s="7" t="s">
        <v>205</v>
      </c>
      <c r="C11" s="1">
        <v>2</v>
      </c>
      <c r="D11" s="1">
        <v>84</v>
      </c>
      <c r="E11" s="1">
        <v>5</v>
      </c>
      <c r="F11">
        <v>1</v>
      </c>
      <c r="G11">
        <v>9</v>
      </c>
      <c r="H11" s="1">
        <v>12</v>
      </c>
      <c r="I11" s="1">
        <v>56.5</v>
      </c>
      <c r="J11" s="1">
        <v>29.5</v>
      </c>
      <c r="K11" s="1">
        <v>6.33</v>
      </c>
      <c r="L11" s="34">
        <f t="shared" si="0"/>
        <v>186.73500000000001</v>
      </c>
      <c r="M11" s="55">
        <v>45922.650185185186</v>
      </c>
      <c r="N11" s="1">
        <v>17.809999999999999</v>
      </c>
      <c r="O11" s="1">
        <v>13.7</v>
      </c>
      <c r="P11" s="1">
        <v>57.7</v>
      </c>
      <c r="Q11" s="56">
        <f t="shared" si="1"/>
        <v>4074.3111093260491</v>
      </c>
      <c r="R11" s="34">
        <f t="shared" si="2"/>
        <v>81.486222186520976</v>
      </c>
      <c r="V11" s="55">
        <v>45922.556469907409</v>
      </c>
      <c r="W11">
        <v>2</v>
      </c>
      <c r="X11">
        <v>2</v>
      </c>
      <c r="Y11">
        <v>9</v>
      </c>
      <c r="Z11">
        <v>21.41</v>
      </c>
      <c r="AA11">
        <v>13.5</v>
      </c>
      <c r="AB11">
        <v>57.2</v>
      </c>
      <c r="AC11">
        <v>26</v>
      </c>
    </row>
    <row r="12" spans="1:29" x14ac:dyDescent="0.25">
      <c r="A12" s="5" t="s">
        <v>58</v>
      </c>
      <c r="B12" s="7" t="s">
        <v>205</v>
      </c>
      <c r="C12" s="1">
        <v>2</v>
      </c>
      <c r="D12" s="1">
        <v>16</v>
      </c>
      <c r="E12" s="1">
        <v>1</v>
      </c>
      <c r="F12">
        <v>4</v>
      </c>
      <c r="G12">
        <v>5</v>
      </c>
      <c r="H12" s="1">
        <v>12.4</v>
      </c>
      <c r="I12" s="1">
        <v>56</v>
      </c>
      <c r="J12" s="1">
        <v>29.5</v>
      </c>
      <c r="K12" s="1">
        <v>6.33</v>
      </c>
      <c r="L12" s="34">
        <f t="shared" si="0"/>
        <v>186.73500000000001</v>
      </c>
      <c r="M12" s="55">
        <v>45922.585092592592</v>
      </c>
      <c r="N12" s="1">
        <v>21.02</v>
      </c>
      <c r="O12" s="1">
        <v>14.1</v>
      </c>
      <c r="P12" s="1">
        <v>57.6</v>
      </c>
      <c r="Q12" s="56">
        <f t="shared" si="1"/>
        <v>4786.3598682625106</v>
      </c>
      <c r="R12" s="34">
        <f t="shared" si="2"/>
        <v>95.72719736525022</v>
      </c>
      <c r="V12" s="55">
        <v>45922.530682870369</v>
      </c>
      <c r="W12">
        <v>2</v>
      </c>
      <c r="X12">
        <v>1</v>
      </c>
      <c r="Y12">
        <v>10</v>
      </c>
      <c r="Z12">
        <v>16.13</v>
      </c>
      <c r="AA12">
        <v>15.7</v>
      </c>
      <c r="AB12">
        <v>58.3</v>
      </c>
      <c r="AC12">
        <v>2</v>
      </c>
    </row>
    <row r="13" spans="1:29" x14ac:dyDescent="0.25">
      <c r="A13" s="5" t="s">
        <v>58</v>
      </c>
      <c r="B13" s="7" t="s">
        <v>205</v>
      </c>
      <c r="C13" s="1">
        <v>2</v>
      </c>
      <c r="D13" s="1">
        <v>101</v>
      </c>
      <c r="E13" s="1">
        <v>6</v>
      </c>
      <c r="F13">
        <v>5</v>
      </c>
      <c r="G13">
        <v>6</v>
      </c>
      <c r="H13" s="1">
        <v>12.4</v>
      </c>
      <c r="I13" s="1">
        <v>55.2</v>
      </c>
      <c r="J13" s="1">
        <v>29.5</v>
      </c>
      <c r="K13" s="1">
        <v>6.33</v>
      </c>
      <c r="L13" s="34">
        <f t="shared" si="0"/>
        <v>186.73500000000001</v>
      </c>
      <c r="M13" s="55">
        <v>45922.60728009259</v>
      </c>
      <c r="N13" s="1">
        <v>20.010000000000002</v>
      </c>
      <c r="O13" s="1">
        <v>13.9</v>
      </c>
      <c r="P13" s="1">
        <v>56.8</v>
      </c>
      <c r="Q13" s="56">
        <f t="shared" si="1"/>
        <v>4566.9863442846818</v>
      </c>
      <c r="R13" s="34">
        <f t="shared" si="2"/>
        <v>91.339726885693636</v>
      </c>
      <c r="V13" s="55">
        <v>45922.531412037039</v>
      </c>
      <c r="W13">
        <v>3</v>
      </c>
      <c r="X13">
        <v>1</v>
      </c>
      <c r="Y13">
        <v>11</v>
      </c>
      <c r="Z13">
        <v>18.52</v>
      </c>
      <c r="AA13">
        <v>18.8</v>
      </c>
      <c r="AB13">
        <v>58.7</v>
      </c>
      <c r="AC13">
        <v>3</v>
      </c>
    </row>
    <row r="14" spans="1:29" x14ac:dyDescent="0.25">
      <c r="A14" s="5" t="s">
        <v>58</v>
      </c>
      <c r="B14" s="7" t="s">
        <v>205</v>
      </c>
      <c r="C14" s="1">
        <v>2</v>
      </c>
      <c r="D14" s="1">
        <v>34</v>
      </c>
      <c r="E14" s="1">
        <v>2</v>
      </c>
      <c r="F14">
        <v>7</v>
      </c>
      <c r="G14">
        <v>4</v>
      </c>
      <c r="H14" s="1">
        <v>12.7</v>
      </c>
      <c r="I14" s="1">
        <v>55.5</v>
      </c>
      <c r="J14" s="1">
        <v>29.5</v>
      </c>
      <c r="K14" s="1">
        <v>6.33</v>
      </c>
      <c r="L14" s="34">
        <f t="shared" si="0"/>
        <v>186.73500000000001</v>
      </c>
      <c r="M14" s="55">
        <v>45922.575428240743</v>
      </c>
      <c r="N14" s="1">
        <v>19.84</v>
      </c>
      <c r="O14" s="1">
        <v>13.9</v>
      </c>
      <c r="P14" s="1">
        <v>57.7</v>
      </c>
      <c r="Q14" s="56">
        <f t="shared" si="1"/>
        <v>4528.1863603502279</v>
      </c>
      <c r="R14" s="34">
        <f t="shared" si="2"/>
        <v>90.563727207004561</v>
      </c>
      <c r="V14" s="55">
        <v>45922.555914351855</v>
      </c>
      <c r="W14">
        <v>3</v>
      </c>
      <c r="X14">
        <v>2</v>
      </c>
      <c r="Y14">
        <v>12</v>
      </c>
      <c r="Z14">
        <v>20.98</v>
      </c>
      <c r="AA14">
        <v>13.4</v>
      </c>
      <c r="AB14">
        <v>57.3</v>
      </c>
      <c r="AC14">
        <v>25</v>
      </c>
    </row>
    <row r="15" spans="1:29" x14ac:dyDescent="0.25">
      <c r="A15" s="5" t="s">
        <v>58</v>
      </c>
      <c r="B15" s="7" t="s">
        <v>205</v>
      </c>
      <c r="C15" s="1">
        <v>2</v>
      </c>
      <c r="D15" s="1">
        <v>50</v>
      </c>
      <c r="E15" s="1">
        <v>3</v>
      </c>
      <c r="F15">
        <v>10</v>
      </c>
      <c r="G15">
        <v>1</v>
      </c>
      <c r="H15" s="1">
        <v>13.5</v>
      </c>
      <c r="I15" s="1">
        <v>55.8</v>
      </c>
      <c r="J15" s="1">
        <v>29.5</v>
      </c>
      <c r="K15" s="1">
        <v>6.33</v>
      </c>
      <c r="L15" s="34">
        <f t="shared" si="0"/>
        <v>186.73500000000001</v>
      </c>
      <c r="M15" s="55">
        <v>45922.540983796294</v>
      </c>
      <c r="N15" s="1">
        <v>13.79</v>
      </c>
      <c r="O15" s="1">
        <v>17.7</v>
      </c>
      <c r="P15" s="1">
        <v>57.6</v>
      </c>
      <c r="Q15" s="56">
        <f t="shared" si="1"/>
        <v>3008.455377942003</v>
      </c>
      <c r="R15" s="34">
        <f t="shared" si="2"/>
        <v>60.169107558840061</v>
      </c>
      <c r="V15" s="55">
        <v>45922.559594907405</v>
      </c>
      <c r="W15">
        <v>3</v>
      </c>
      <c r="X15">
        <v>3</v>
      </c>
      <c r="Y15">
        <v>13</v>
      </c>
      <c r="Z15">
        <v>17.61</v>
      </c>
      <c r="AA15">
        <v>14.3</v>
      </c>
      <c r="AB15">
        <v>57.6</v>
      </c>
      <c r="AC15">
        <v>30</v>
      </c>
    </row>
    <row r="16" spans="1:29" x14ac:dyDescent="0.25">
      <c r="A16" s="5" t="s">
        <v>58</v>
      </c>
      <c r="B16" s="7" t="s">
        <v>205</v>
      </c>
      <c r="C16" s="1">
        <v>2</v>
      </c>
      <c r="D16" s="1">
        <v>135</v>
      </c>
      <c r="E16" s="1">
        <v>7</v>
      </c>
      <c r="F16">
        <v>11</v>
      </c>
      <c r="G16">
        <v>10</v>
      </c>
      <c r="H16" s="1">
        <v>12.6</v>
      </c>
      <c r="I16" s="1">
        <v>56.4</v>
      </c>
      <c r="J16" s="1">
        <v>29.5</v>
      </c>
      <c r="K16" s="1">
        <v>6.33</v>
      </c>
      <c r="L16" s="34">
        <f t="shared" si="0"/>
        <v>186.73500000000001</v>
      </c>
      <c r="M16" s="55">
        <v>45922.657511574071</v>
      </c>
      <c r="N16" s="1">
        <v>20.21</v>
      </c>
      <c r="O16" s="1">
        <v>15</v>
      </c>
      <c r="P16" s="1">
        <v>58</v>
      </c>
      <c r="Q16" s="56">
        <f t="shared" si="1"/>
        <v>4553.7031086834286</v>
      </c>
      <c r="R16" s="34">
        <f t="shared" si="2"/>
        <v>91.074062173668565</v>
      </c>
      <c r="V16" s="55">
        <v>45922.580590277779</v>
      </c>
      <c r="W16">
        <v>3</v>
      </c>
      <c r="X16">
        <v>4</v>
      </c>
      <c r="Y16">
        <v>14</v>
      </c>
      <c r="Z16">
        <v>19.59</v>
      </c>
      <c r="AA16">
        <v>15.6</v>
      </c>
      <c r="AB16">
        <v>58</v>
      </c>
      <c r="AC16">
        <v>57</v>
      </c>
    </row>
    <row r="17" spans="1:29" x14ac:dyDescent="0.25">
      <c r="A17" s="5" t="s">
        <v>58</v>
      </c>
      <c r="B17" s="7" t="s">
        <v>205</v>
      </c>
      <c r="C17" s="1">
        <v>2</v>
      </c>
      <c r="D17" s="1">
        <v>149</v>
      </c>
      <c r="E17" s="1">
        <v>8</v>
      </c>
      <c r="F17">
        <v>14</v>
      </c>
      <c r="G17">
        <v>7</v>
      </c>
      <c r="H17" s="1">
        <v>12.7</v>
      </c>
      <c r="I17" s="1">
        <v>56.2</v>
      </c>
      <c r="J17" s="1">
        <v>29.5</v>
      </c>
      <c r="K17" s="1">
        <v>6.33</v>
      </c>
      <c r="L17" s="34">
        <f t="shared" si="0"/>
        <v>186.73500000000001</v>
      </c>
      <c r="M17" s="55">
        <v>45922.617326388892</v>
      </c>
      <c r="N17" s="1">
        <v>20.440000000000001</v>
      </c>
      <c r="O17" s="1">
        <v>14.1</v>
      </c>
      <c r="P17" s="1">
        <v>57.9</v>
      </c>
      <c r="Q17" s="56">
        <f t="shared" si="1"/>
        <v>4654.2909470640216</v>
      </c>
      <c r="R17" s="34">
        <f t="shared" si="2"/>
        <v>93.085818941280436</v>
      </c>
      <c r="V17" s="55">
        <v>45922.584421296298</v>
      </c>
      <c r="W17">
        <v>3</v>
      </c>
      <c r="X17">
        <v>5</v>
      </c>
      <c r="Y17">
        <v>15</v>
      </c>
      <c r="Z17">
        <v>16.670000000000002</v>
      </c>
      <c r="AA17">
        <v>14.5</v>
      </c>
      <c r="AB17">
        <v>57.3</v>
      </c>
      <c r="AC17">
        <v>62</v>
      </c>
    </row>
    <row r="18" spans="1:29" x14ac:dyDescent="0.25">
      <c r="A18" s="5" t="s">
        <v>58</v>
      </c>
      <c r="B18" s="7" t="s">
        <v>205</v>
      </c>
      <c r="C18" s="1">
        <v>2</v>
      </c>
      <c r="D18" s="1">
        <v>78</v>
      </c>
      <c r="E18" s="1">
        <v>4</v>
      </c>
      <c r="F18">
        <v>16</v>
      </c>
      <c r="G18">
        <v>3</v>
      </c>
      <c r="H18" s="1">
        <v>13.1</v>
      </c>
      <c r="I18" s="1">
        <v>54.7</v>
      </c>
      <c r="J18" s="1">
        <v>29.5</v>
      </c>
      <c r="K18" s="1">
        <v>6.33</v>
      </c>
      <c r="L18" s="34">
        <f t="shared" si="0"/>
        <v>186.73500000000001</v>
      </c>
      <c r="M18" s="55">
        <v>45922.568310185183</v>
      </c>
      <c r="N18" s="1">
        <v>17.73</v>
      </c>
      <c r="O18" s="1">
        <v>16</v>
      </c>
      <c r="P18" s="1">
        <v>56.2</v>
      </c>
      <c r="Q18" s="56">
        <f t="shared" si="1"/>
        <v>3947.9122821110127</v>
      </c>
      <c r="R18" s="34">
        <f t="shared" si="2"/>
        <v>78.958245642220248</v>
      </c>
      <c r="V18" s="55">
        <v>45922.585092592592</v>
      </c>
      <c r="W18">
        <v>4</v>
      </c>
      <c r="X18">
        <v>5</v>
      </c>
      <c r="Y18">
        <v>16</v>
      </c>
      <c r="Z18">
        <v>21.02</v>
      </c>
      <c r="AA18">
        <v>14.1</v>
      </c>
      <c r="AB18">
        <v>57.6</v>
      </c>
      <c r="AC18">
        <v>63</v>
      </c>
    </row>
    <row r="19" spans="1:29" x14ac:dyDescent="0.25">
      <c r="A19" s="5" t="s">
        <v>58</v>
      </c>
      <c r="B19" s="7" t="s">
        <v>206</v>
      </c>
      <c r="C19" s="1">
        <v>3</v>
      </c>
      <c r="D19" s="1">
        <v>82</v>
      </c>
      <c r="E19" s="1">
        <v>5</v>
      </c>
      <c r="F19">
        <v>1</v>
      </c>
      <c r="G19">
        <v>7</v>
      </c>
      <c r="H19" s="1">
        <v>13.7</v>
      </c>
      <c r="I19" s="1">
        <v>56.9</v>
      </c>
      <c r="J19" s="1">
        <v>29.5</v>
      </c>
      <c r="K19" s="1">
        <v>6.33</v>
      </c>
      <c r="L19" s="34">
        <f t="shared" si="0"/>
        <v>186.73500000000001</v>
      </c>
      <c r="M19" s="55">
        <v>45922.625474537039</v>
      </c>
      <c r="N19" s="1">
        <v>20.23</v>
      </c>
      <c r="O19" s="1">
        <v>15</v>
      </c>
      <c r="P19" s="1">
        <v>58.5</v>
      </c>
      <c r="Q19" s="56">
        <f t="shared" si="1"/>
        <v>4558.2094947385331</v>
      </c>
      <c r="R19" s="34">
        <f t="shared" si="2"/>
        <v>91.164189894770658</v>
      </c>
      <c r="V19" s="55">
        <v>45922.577534722222</v>
      </c>
      <c r="W19">
        <v>4</v>
      </c>
      <c r="X19">
        <v>4</v>
      </c>
      <c r="Y19">
        <v>17</v>
      </c>
      <c r="Z19">
        <v>21.75</v>
      </c>
      <c r="AA19">
        <v>14.7</v>
      </c>
      <c r="AB19">
        <v>58.2</v>
      </c>
      <c r="AC19">
        <v>56</v>
      </c>
    </row>
    <row r="20" spans="1:29" x14ac:dyDescent="0.25">
      <c r="A20" s="5" t="s">
        <v>58</v>
      </c>
      <c r="B20" s="7" t="s">
        <v>206</v>
      </c>
      <c r="C20" s="1">
        <v>3</v>
      </c>
      <c r="D20" s="1">
        <v>17</v>
      </c>
      <c r="E20" s="1">
        <v>1</v>
      </c>
      <c r="F20">
        <v>4</v>
      </c>
      <c r="G20">
        <v>4</v>
      </c>
      <c r="H20" s="1">
        <v>12.8</v>
      </c>
      <c r="I20" s="1">
        <v>56.4</v>
      </c>
      <c r="J20" s="1">
        <v>29.5</v>
      </c>
      <c r="K20" s="1">
        <v>6.33</v>
      </c>
      <c r="L20" s="34">
        <f t="shared" si="0"/>
        <v>186.73500000000001</v>
      </c>
      <c r="M20" s="55">
        <v>45922.577534722222</v>
      </c>
      <c r="N20" s="1">
        <v>21.75</v>
      </c>
      <c r="O20" s="1">
        <v>14.7</v>
      </c>
      <c r="P20" s="1">
        <v>58.2</v>
      </c>
      <c r="Q20" s="56">
        <f t="shared" si="1"/>
        <v>4917.9914049321224</v>
      </c>
      <c r="R20" s="34">
        <f t="shared" si="2"/>
        <v>98.359828098642453</v>
      </c>
      <c r="V20" s="55">
        <v>45922.560358796298</v>
      </c>
      <c r="W20">
        <v>4</v>
      </c>
      <c r="X20">
        <v>3</v>
      </c>
      <c r="Y20">
        <v>18</v>
      </c>
      <c r="Z20">
        <v>19.5</v>
      </c>
      <c r="AA20">
        <v>14.3</v>
      </c>
      <c r="AB20">
        <v>58.2</v>
      </c>
      <c r="AC20">
        <v>31</v>
      </c>
    </row>
    <row r="21" spans="1:29" x14ac:dyDescent="0.25">
      <c r="A21" s="5" t="s">
        <v>58</v>
      </c>
      <c r="B21" s="7" t="s">
        <v>206</v>
      </c>
      <c r="C21" s="1">
        <v>3</v>
      </c>
      <c r="D21" s="1">
        <v>104</v>
      </c>
      <c r="E21" s="1">
        <v>6</v>
      </c>
      <c r="F21">
        <v>5</v>
      </c>
      <c r="G21">
        <v>9</v>
      </c>
      <c r="H21" s="1">
        <v>13</v>
      </c>
      <c r="I21" s="1">
        <v>57.9</v>
      </c>
      <c r="J21" s="1">
        <v>29.5</v>
      </c>
      <c r="K21" s="1">
        <v>6.33</v>
      </c>
      <c r="L21" s="34">
        <f t="shared" si="0"/>
        <v>186.73500000000001</v>
      </c>
      <c r="M21" s="55">
        <v>45922.647719907407</v>
      </c>
      <c r="N21" s="1">
        <v>23.17</v>
      </c>
      <c r="O21" s="1">
        <v>14.8</v>
      </c>
      <c r="P21" s="1">
        <v>58.2</v>
      </c>
      <c r="Q21" s="56">
        <f t="shared" si="1"/>
        <v>5232.9321230620935</v>
      </c>
      <c r="R21" s="34">
        <f t="shared" si="2"/>
        <v>104.65864246124187</v>
      </c>
      <c r="V21" s="55">
        <v>45922.555243055554</v>
      </c>
      <c r="W21">
        <v>4</v>
      </c>
      <c r="X21">
        <v>2</v>
      </c>
      <c r="Y21">
        <v>19</v>
      </c>
      <c r="Z21">
        <v>19.2</v>
      </c>
      <c r="AA21">
        <v>13.7</v>
      </c>
      <c r="AB21">
        <v>56.9</v>
      </c>
      <c r="AC21">
        <v>24</v>
      </c>
    </row>
    <row r="22" spans="1:29" x14ac:dyDescent="0.25">
      <c r="A22" s="5" t="s">
        <v>58</v>
      </c>
      <c r="B22" s="7" t="s">
        <v>206</v>
      </c>
      <c r="C22" s="1">
        <v>3</v>
      </c>
      <c r="D22" s="1">
        <v>31</v>
      </c>
      <c r="E22" s="1">
        <v>2</v>
      </c>
      <c r="F22">
        <v>7</v>
      </c>
      <c r="G22">
        <v>1</v>
      </c>
      <c r="H22" s="1">
        <v>13.9</v>
      </c>
      <c r="I22" s="1">
        <v>57.4</v>
      </c>
      <c r="J22" s="1">
        <v>29.5</v>
      </c>
      <c r="K22" s="1">
        <v>6.33</v>
      </c>
      <c r="L22" s="34">
        <f t="shared" si="0"/>
        <v>186.73500000000001</v>
      </c>
      <c r="M22" s="55">
        <v>45922.538726851853</v>
      </c>
      <c r="N22" s="1">
        <v>19.7</v>
      </c>
      <c r="O22" s="1">
        <v>18.600000000000001</v>
      </c>
      <c r="P22" s="1">
        <v>58.9</v>
      </c>
      <c r="Q22" s="56">
        <f t="shared" si="1"/>
        <v>4250.7944413205878</v>
      </c>
      <c r="R22" s="34">
        <f t="shared" si="2"/>
        <v>85.015888826411754</v>
      </c>
      <c r="V22" s="55">
        <v>45922.532199074078</v>
      </c>
      <c r="W22">
        <v>4</v>
      </c>
      <c r="X22">
        <v>1</v>
      </c>
      <c r="Y22">
        <v>20</v>
      </c>
      <c r="Z22">
        <v>17.97</v>
      </c>
      <c r="AA22">
        <v>14.8</v>
      </c>
      <c r="AB22">
        <v>58</v>
      </c>
      <c r="AC22">
        <v>4</v>
      </c>
    </row>
    <row r="23" spans="1:29" x14ac:dyDescent="0.25">
      <c r="A23" s="5" t="s">
        <v>58</v>
      </c>
      <c r="B23" s="7" t="s">
        <v>206</v>
      </c>
      <c r="C23" s="1">
        <v>3</v>
      </c>
      <c r="D23" s="1">
        <v>125</v>
      </c>
      <c r="E23" s="1">
        <v>7</v>
      </c>
      <c r="F23">
        <v>9</v>
      </c>
      <c r="G23">
        <v>10</v>
      </c>
      <c r="H23" s="1">
        <v>13.9</v>
      </c>
      <c r="I23" s="1">
        <v>56.5</v>
      </c>
      <c r="J23" s="1">
        <v>29.5</v>
      </c>
      <c r="K23" s="1">
        <v>6.33</v>
      </c>
      <c r="L23" s="34">
        <f t="shared" si="0"/>
        <v>186.73500000000001</v>
      </c>
      <c r="M23" s="55">
        <v>45922.656307870369</v>
      </c>
      <c r="N23" s="1">
        <v>22.85</v>
      </c>
      <c r="O23" s="1">
        <v>17.7</v>
      </c>
      <c r="P23" s="1">
        <v>58.5</v>
      </c>
      <c r="Q23" s="56">
        <f t="shared" si="1"/>
        <v>4985.0040163868589</v>
      </c>
      <c r="R23" s="34">
        <f t="shared" si="2"/>
        <v>99.700080327737183</v>
      </c>
      <c r="V23" s="55">
        <v>45922.533171296294</v>
      </c>
      <c r="W23">
        <v>5</v>
      </c>
      <c r="X23">
        <v>1</v>
      </c>
      <c r="Y23">
        <v>21</v>
      </c>
      <c r="Z23">
        <v>16.809999999999999</v>
      </c>
      <c r="AA23">
        <v>16</v>
      </c>
      <c r="AB23">
        <v>58.4</v>
      </c>
      <c r="AC23">
        <v>5</v>
      </c>
    </row>
    <row r="24" spans="1:29" x14ac:dyDescent="0.25">
      <c r="A24" s="5" t="s">
        <v>58</v>
      </c>
      <c r="B24" s="7" t="s">
        <v>206</v>
      </c>
      <c r="C24" s="1">
        <v>3</v>
      </c>
      <c r="D24" s="1">
        <v>56</v>
      </c>
      <c r="E24" s="1">
        <v>3</v>
      </c>
      <c r="F24">
        <v>12</v>
      </c>
      <c r="G24">
        <v>5</v>
      </c>
      <c r="H24" s="1">
        <v>13</v>
      </c>
      <c r="I24" s="1">
        <v>57.9</v>
      </c>
      <c r="J24" s="1">
        <v>29.5</v>
      </c>
      <c r="K24" s="1">
        <v>6.33</v>
      </c>
      <c r="L24" s="34">
        <f t="shared" si="0"/>
        <v>186.73500000000001</v>
      </c>
      <c r="M24" s="55">
        <v>45922.591620370367</v>
      </c>
      <c r="N24" s="1">
        <v>23.3</v>
      </c>
      <c r="O24" s="1">
        <v>17.5</v>
      </c>
      <c r="P24" s="1">
        <v>58.9</v>
      </c>
      <c r="Q24" s="56">
        <f t="shared" si="1"/>
        <v>5095.529761426621</v>
      </c>
      <c r="R24" s="34">
        <f t="shared" si="2"/>
        <v>101.91059522853242</v>
      </c>
      <c r="V24" s="55">
        <v>45922.554178240738</v>
      </c>
      <c r="W24">
        <v>5</v>
      </c>
      <c r="X24">
        <v>2</v>
      </c>
      <c r="Y24">
        <v>22</v>
      </c>
      <c r="Z24">
        <v>23.45</v>
      </c>
      <c r="AA24">
        <v>14.6</v>
      </c>
      <c r="AB24">
        <v>58.3</v>
      </c>
      <c r="AC24">
        <v>23</v>
      </c>
    </row>
    <row r="25" spans="1:29" x14ac:dyDescent="0.25">
      <c r="A25" s="5" t="s">
        <v>58</v>
      </c>
      <c r="B25" s="7" t="s">
        <v>206</v>
      </c>
      <c r="C25" s="1">
        <v>3</v>
      </c>
      <c r="D25" s="1">
        <v>141</v>
      </c>
      <c r="E25" s="1">
        <v>8</v>
      </c>
      <c r="F25">
        <v>13</v>
      </c>
      <c r="G25">
        <v>6</v>
      </c>
      <c r="H25" s="1">
        <v>13.1</v>
      </c>
      <c r="I25" s="1">
        <v>57.2</v>
      </c>
      <c r="J25" s="1">
        <v>29.5</v>
      </c>
      <c r="K25" s="1">
        <v>6.33</v>
      </c>
      <c r="L25" s="34">
        <f t="shared" si="0"/>
        <v>186.73500000000001</v>
      </c>
      <c r="M25" s="55">
        <v>45922.613287037035</v>
      </c>
      <c r="N25" s="1">
        <v>22.92</v>
      </c>
      <c r="O25" s="1">
        <v>17.2</v>
      </c>
      <c r="P25" s="1">
        <v>59.1</v>
      </c>
      <c r="Q25" s="56">
        <f t="shared" si="1"/>
        <v>5030.6537071250705</v>
      </c>
      <c r="R25" s="34">
        <f t="shared" si="2"/>
        <v>100.6130741425014</v>
      </c>
      <c r="V25" s="55">
        <v>45922.561018518521</v>
      </c>
      <c r="W25">
        <v>5</v>
      </c>
      <c r="X25">
        <v>3</v>
      </c>
      <c r="Y25">
        <v>23</v>
      </c>
      <c r="Z25">
        <v>22.55</v>
      </c>
      <c r="AA25">
        <v>15</v>
      </c>
      <c r="AB25">
        <v>57.4</v>
      </c>
      <c r="AC25">
        <v>32</v>
      </c>
    </row>
    <row r="26" spans="1:29" x14ac:dyDescent="0.25">
      <c r="A26" s="5" t="s">
        <v>58</v>
      </c>
      <c r="B26" s="7" t="s">
        <v>206</v>
      </c>
      <c r="C26" s="1">
        <v>3</v>
      </c>
      <c r="D26" s="1">
        <v>79</v>
      </c>
      <c r="E26" s="1">
        <v>4</v>
      </c>
      <c r="F26">
        <v>16</v>
      </c>
      <c r="G26">
        <v>2</v>
      </c>
      <c r="H26" s="1">
        <v>14.9</v>
      </c>
      <c r="I26" s="1">
        <v>55.2</v>
      </c>
      <c r="J26" s="1">
        <v>29.5</v>
      </c>
      <c r="K26" s="1">
        <v>6.33</v>
      </c>
      <c r="L26" s="34">
        <f t="shared" si="0"/>
        <v>186.73500000000001</v>
      </c>
      <c r="M26" s="55">
        <v>45922.546469907407</v>
      </c>
      <c r="N26" s="1">
        <v>17.53</v>
      </c>
      <c r="O26" s="1">
        <v>17</v>
      </c>
      <c r="P26" s="1">
        <v>57.6</v>
      </c>
      <c r="Q26" s="56">
        <f t="shared" si="1"/>
        <v>3856.909791951161</v>
      </c>
      <c r="R26" s="34">
        <f t="shared" si="2"/>
        <v>77.138195839023226</v>
      </c>
      <c r="V26" s="55">
        <v>45922.57675925926</v>
      </c>
      <c r="W26">
        <v>5</v>
      </c>
      <c r="X26">
        <v>4</v>
      </c>
      <c r="Y26">
        <v>24</v>
      </c>
      <c r="Z26">
        <v>19.29</v>
      </c>
      <c r="AA26">
        <v>14.3</v>
      </c>
      <c r="AB26">
        <v>58</v>
      </c>
      <c r="AC26">
        <v>55</v>
      </c>
    </row>
    <row r="27" spans="1:29" x14ac:dyDescent="0.25">
      <c r="A27" s="5" t="s">
        <v>58</v>
      </c>
      <c r="B27" s="7" t="s">
        <v>207</v>
      </c>
      <c r="C27" s="1">
        <v>4</v>
      </c>
      <c r="D27" s="1">
        <v>9</v>
      </c>
      <c r="E27" s="1">
        <v>1</v>
      </c>
      <c r="F27">
        <v>2</v>
      </c>
      <c r="G27">
        <v>2</v>
      </c>
      <c r="H27" s="1">
        <v>12.9</v>
      </c>
      <c r="I27" s="1">
        <v>55.9</v>
      </c>
      <c r="J27" s="1">
        <v>29.5</v>
      </c>
      <c r="K27" s="1">
        <v>6.33</v>
      </c>
      <c r="L27" s="34">
        <f t="shared" si="0"/>
        <v>186.73500000000001</v>
      </c>
      <c r="M27" s="55">
        <v>45922.556469907409</v>
      </c>
      <c r="N27" s="1">
        <v>21.41</v>
      </c>
      <c r="O27" s="1">
        <v>13.5</v>
      </c>
      <c r="P27" s="1">
        <v>57.2</v>
      </c>
      <c r="Q27" s="56">
        <f t="shared" si="1"/>
        <v>4909.2172062013005</v>
      </c>
      <c r="R27" s="34">
        <f t="shared" si="2"/>
        <v>98.184344124026012</v>
      </c>
      <c r="V27" s="55">
        <v>45922.586712962962</v>
      </c>
      <c r="W27">
        <v>5</v>
      </c>
      <c r="X27">
        <v>5</v>
      </c>
      <c r="Y27">
        <v>25</v>
      </c>
      <c r="Z27">
        <v>23.91</v>
      </c>
      <c r="AA27">
        <v>15.9</v>
      </c>
      <c r="AB27">
        <v>58.5</v>
      </c>
      <c r="AC27">
        <v>64</v>
      </c>
    </row>
    <row r="28" spans="1:29" x14ac:dyDescent="0.25">
      <c r="A28" s="5" t="s">
        <v>58</v>
      </c>
      <c r="B28" s="7" t="s">
        <v>207</v>
      </c>
      <c r="C28" s="1">
        <v>4</v>
      </c>
      <c r="D28" s="1">
        <v>97</v>
      </c>
      <c r="E28" s="1">
        <v>5</v>
      </c>
      <c r="F28">
        <v>4</v>
      </c>
      <c r="G28">
        <v>9</v>
      </c>
      <c r="H28" s="1">
        <v>12.8</v>
      </c>
      <c r="I28" s="1">
        <v>56.7</v>
      </c>
      <c r="J28" s="1">
        <v>29.5</v>
      </c>
      <c r="K28" s="1">
        <v>6.33</v>
      </c>
      <c r="L28" s="34">
        <f t="shared" si="0"/>
        <v>186.73500000000001</v>
      </c>
      <c r="M28" s="55">
        <v>45922.648344907408</v>
      </c>
      <c r="N28" s="1">
        <v>23.17</v>
      </c>
      <c r="O28" s="1">
        <v>15.7</v>
      </c>
      <c r="P28" s="1">
        <v>57.3</v>
      </c>
      <c r="Q28" s="56">
        <f t="shared" si="1"/>
        <v>5177.6546710579159</v>
      </c>
      <c r="R28" s="34">
        <f t="shared" si="2"/>
        <v>103.55309342115832</v>
      </c>
      <c r="V28" s="55">
        <v>45922.58761574074</v>
      </c>
      <c r="W28">
        <v>6</v>
      </c>
      <c r="X28">
        <v>5</v>
      </c>
      <c r="Y28">
        <v>26</v>
      </c>
      <c r="Z28">
        <v>19.239999999999998</v>
      </c>
      <c r="AA28">
        <v>14.1</v>
      </c>
      <c r="AB28">
        <v>58.3</v>
      </c>
      <c r="AC28">
        <v>65</v>
      </c>
    </row>
    <row r="29" spans="1:29" x14ac:dyDescent="0.25">
      <c r="A29" s="5" t="s">
        <v>58</v>
      </c>
      <c r="B29" s="7" t="s">
        <v>207</v>
      </c>
      <c r="C29" s="1">
        <v>4</v>
      </c>
      <c r="D29" s="1">
        <v>23</v>
      </c>
      <c r="E29" s="1">
        <v>2</v>
      </c>
      <c r="F29">
        <v>5</v>
      </c>
      <c r="G29">
        <v>3</v>
      </c>
      <c r="H29" s="1">
        <v>12.8</v>
      </c>
      <c r="I29" s="1">
        <v>56.2</v>
      </c>
      <c r="J29" s="1">
        <v>29.5</v>
      </c>
      <c r="K29" s="1">
        <v>6.33</v>
      </c>
      <c r="L29" s="34">
        <f t="shared" si="0"/>
        <v>186.73500000000001</v>
      </c>
      <c r="M29" s="55">
        <v>45922.561018518521</v>
      </c>
      <c r="N29" s="1">
        <v>22.55</v>
      </c>
      <c r="O29" s="1">
        <v>15</v>
      </c>
      <c r="P29" s="1">
        <v>57.4</v>
      </c>
      <c r="Q29" s="56">
        <f t="shared" si="1"/>
        <v>5080.9502771306934</v>
      </c>
      <c r="R29" s="34">
        <f t="shared" si="2"/>
        <v>101.61900554261386</v>
      </c>
      <c r="V29" s="55">
        <v>45922.57608796296</v>
      </c>
      <c r="W29">
        <v>6</v>
      </c>
      <c r="X29">
        <v>4</v>
      </c>
      <c r="Y29">
        <v>27</v>
      </c>
      <c r="Z29">
        <v>23.09</v>
      </c>
      <c r="AA29">
        <v>15.6</v>
      </c>
      <c r="AB29">
        <v>58.2</v>
      </c>
      <c r="AC29">
        <v>54</v>
      </c>
    </row>
    <row r="30" spans="1:29" x14ac:dyDescent="0.25">
      <c r="A30" s="5" t="s">
        <v>58</v>
      </c>
      <c r="B30" s="7" t="s">
        <v>207</v>
      </c>
      <c r="C30" s="1">
        <v>4</v>
      </c>
      <c r="D30" s="1">
        <v>110</v>
      </c>
      <c r="E30" s="1">
        <v>6</v>
      </c>
      <c r="F30">
        <v>6</v>
      </c>
      <c r="G30">
        <v>6</v>
      </c>
      <c r="H30" s="1">
        <v>12.8</v>
      </c>
      <c r="I30" s="1">
        <v>56.7</v>
      </c>
      <c r="J30" s="1">
        <v>29.5</v>
      </c>
      <c r="K30" s="1">
        <v>6.33</v>
      </c>
      <c r="L30" s="34">
        <f t="shared" si="0"/>
        <v>186.73500000000001</v>
      </c>
      <c r="M30" s="55">
        <v>45922.607939814814</v>
      </c>
      <c r="N30" s="1">
        <v>23.32</v>
      </c>
      <c r="O30" s="1">
        <v>14.3</v>
      </c>
      <c r="P30" s="1">
        <v>57.6</v>
      </c>
      <c r="Q30" s="56">
        <f t="shared" si="1"/>
        <v>5297.7180496425408</v>
      </c>
      <c r="R30" s="34">
        <f t="shared" si="2"/>
        <v>105.95436099285081</v>
      </c>
      <c r="V30" s="55">
        <v>45922.561689814815</v>
      </c>
      <c r="W30">
        <v>6</v>
      </c>
      <c r="X30">
        <v>3</v>
      </c>
      <c r="Y30">
        <v>28</v>
      </c>
      <c r="Z30">
        <v>21.96</v>
      </c>
      <c r="AA30">
        <v>13.5</v>
      </c>
      <c r="AB30">
        <v>55.6</v>
      </c>
      <c r="AC30">
        <v>33</v>
      </c>
    </row>
    <row r="31" spans="1:29" x14ac:dyDescent="0.25">
      <c r="A31" s="5" t="s">
        <v>58</v>
      </c>
      <c r="B31" s="7" t="s">
        <v>207</v>
      </c>
      <c r="C31" s="1">
        <v>4</v>
      </c>
      <c r="D31" s="1">
        <v>45</v>
      </c>
      <c r="E31" s="1">
        <v>3</v>
      </c>
      <c r="F31">
        <v>9</v>
      </c>
      <c r="G31">
        <v>5</v>
      </c>
      <c r="H31" s="1">
        <v>12.8</v>
      </c>
      <c r="I31" s="1">
        <v>56</v>
      </c>
      <c r="J31" s="1">
        <v>29.5</v>
      </c>
      <c r="K31" s="1">
        <v>6.33</v>
      </c>
      <c r="L31" s="34">
        <f t="shared" si="0"/>
        <v>186.73500000000001</v>
      </c>
      <c r="M31" s="55">
        <v>45922.58966435185</v>
      </c>
      <c r="N31" s="1">
        <v>20.75</v>
      </c>
      <c r="O31" s="1">
        <v>15.1</v>
      </c>
      <c r="P31" s="1">
        <v>57.7</v>
      </c>
      <c r="Q31" s="56">
        <f t="shared" si="1"/>
        <v>4669.8750903687051</v>
      </c>
      <c r="R31" s="34">
        <f t="shared" si="2"/>
        <v>93.397501807374098</v>
      </c>
      <c r="V31" s="55">
        <v>45922.553483796299</v>
      </c>
      <c r="W31">
        <v>6</v>
      </c>
      <c r="X31">
        <v>2</v>
      </c>
      <c r="Y31">
        <v>29</v>
      </c>
      <c r="Z31">
        <v>21.25</v>
      </c>
      <c r="AA31">
        <v>15.9</v>
      </c>
      <c r="AB31">
        <v>58.2</v>
      </c>
      <c r="AC31">
        <v>22</v>
      </c>
    </row>
    <row r="32" spans="1:29" x14ac:dyDescent="0.25">
      <c r="A32" s="5" t="s">
        <v>58</v>
      </c>
      <c r="B32" s="7" t="s">
        <v>207</v>
      </c>
      <c r="C32" s="1">
        <v>4</v>
      </c>
      <c r="D32" s="1">
        <v>132</v>
      </c>
      <c r="E32" s="1">
        <v>7</v>
      </c>
      <c r="F32">
        <v>11</v>
      </c>
      <c r="G32">
        <v>7</v>
      </c>
      <c r="H32" s="1">
        <v>13.1</v>
      </c>
      <c r="I32" s="1">
        <v>55.4</v>
      </c>
      <c r="J32" s="1">
        <v>29.5</v>
      </c>
      <c r="K32" s="1">
        <v>6.33</v>
      </c>
      <c r="L32" s="34">
        <f t="shared" si="0"/>
        <v>186.73500000000001</v>
      </c>
      <c r="M32" s="55">
        <v>45922.619189814817</v>
      </c>
      <c r="N32" s="1">
        <v>21.07</v>
      </c>
      <c r="O32" s="1">
        <v>15.6</v>
      </c>
      <c r="P32" s="1">
        <v>58</v>
      </c>
      <c r="Q32" s="56">
        <f t="shared" si="1"/>
        <v>4713.9661016949149</v>
      </c>
      <c r="R32" s="34">
        <f t="shared" si="2"/>
        <v>94.279322033898296</v>
      </c>
      <c r="V32" s="55">
        <v>45922.537997685184</v>
      </c>
      <c r="W32">
        <v>6</v>
      </c>
      <c r="X32">
        <v>1</v>
      </c>
      <c r="Y32">
        <v>30</v>
      </c>
      <c r="Z32">
        <v>16.329999999999998</v>
      </c>
      <c r="AA32">
        <v>15.3</v>
      </c>
      <c r="AB32">
        <v>58.5</v>
      </c>
      <c r="AC32">
        <v>1</v>
      </c>
    </row>
    <row r="33" spans="1:29" x14ac:dyDescent="0.25">
      <c r="A33" s="5" t="s">
        <v>58</v>
      </c>
      <c r="B33" s="7" t="s">
        <v>207</v>
      </c>
      <c r="C33" s="1">
        <v>4</v>
      </c>
      <c r="D33" s="1">
        <v>64</v>
      </c>
      <c r="E33" s="1">
        <v>4</v>
      </c>
      <c r="F33">
        <v>13</v>
      </c>
      <c r="G33">
        <v>4</v>
      </c>
      <c r="H33" s="1">
        <v>13.1</v>
      </c>
      <c r="I33" s="1">
        <v>56.5</v>
      </c>
      <c r="J33" s="1">
        <v>29.5</v>
      </c>
      <c r="K33" s="1">
        <v>6.33</v>
      </c>
      <c r="L33" s="34">
        <f t="shared" si="0"/>
        <v>186.73500000000001</v>
      </c>
      <c r="M33" s="55">
        <v>45922.571458333332</v>
      </c>
      <c r="N33" s="1">
        <v>22.54</v>
      </c>
      <c r="O33" s="1">
        <v>16.3</v>
      </c>
      <c r="P33" s="1">
        <v>58</v>
      </c>
      <c r="Q33" s="56">
        <f t="shared" si="1"/>
        <v>5001.022893405092</v>
      </c>
      <c r="R33" s="34">
        <f t="shared" si="2"/>
        <v>100.02045786810184</v>
      </c>
      <c r="V33" s="55">
        <v>45922.538726851853</v>
      </c>
      <c r="W33">
        <v>7</v>
      </c>
      <c r="X33">
        <v>1</v>
      </c>
      <c r="Y33">
        <v>31</v>
      </c>
      <c r="Z33">
        <v>19.7</v>
      </c>
      <c r="AA33">
        <v>18.600000000000001</v>
      </c>
      <c r="AB33">
        <v>58.9</v>
      </c>
      <c r="AC33">
        <v>2</v>
      </c>
    </row>
    <row r="34" spans="1:29" x14ac:dyDescent="0.25">
      <c r="A34" s="5" t="s">
        <v>58</v>
      </c>
      <c r="B34" s="7" t="s">
        <v>207</v>
      </c>
      <c r="C34" s="1">
        <v>4</v>
      </c>
      <c r="D34" s="1">
        <v>158</v>
      </c>
      <c r="E34" s="1">
        <v>8</v>
      </c>
      <c r="F34">
        <v>16</v>
      </c>
      <c r="G34">
        <v>8</v>
      </c>
      <c r="H34" s="1">
        <v>12.9</v>
      </c>
      <c r="I34" s="1">
        <v>55.6</v>
      </c>
      <c r="J34" s="1">
        <v>29.5</v>
      </c>
      <c r="K34" s="1">
        <v>6.33</v>
      </c>
      <c r="L34" s="34">
        <f t="shared" si="0"/>
        <v>186.73500000000001</v>
      </c>
      <c r="M34" s="55">
        <v>45922.639988425923</v>
      </c>
      <c r="N34" s="1">
        <v>19.64</v>
      </c>
      <c r="O34" s="1">
        <v>15.5</v>
      </c>
      <c r="P34" s="1">
        <v>57.3</v>
      </c>
      <c r="Q34" s="56">
        <f t="shared" si="1"/>
        <v>4399.2400996063934</v>
      </c>
      <c r="R34" s="34">
        <f t="shared" si="2"/>
        <v>87.984801992127871</v>
      </c>
      <c r="V34" s="55">
        <v>45922.552870370368</v>
      </c>
      <c r="W34">
        <v>7</v>
      </c>
      <c r="X34">
        <v>2</v>
      </c>
      <c r="Y34">
        <v>32</v>
      </c>
      <c r="Z34">
        <v>18.28</v>
      </c>
      <c r="AA34">
        <v>13.9</v>
      </c>
      <c r="AB34">
        <v>56.8</v>
      </c>
      <c r="AC34">
        <v>21</v>
      </c>
    </row>
    <row r="35" spans="1:29" x14ac:dyDescent="0.25">
      <c r="A35" s="5" t="s">
        <v>58</v>
      </c>
      <c r="B35" s="5" t="s">
        <v>208</v>
      </c>
      <c r="C35" s="1">
        <v>5</v>
      </c>
      <c r="D35" s="1">
        <v>7</v>
      </c>
      <c r="E35" s="1">
        <v>1</v>
      </c>
      <c r="F35">
        <v>2</v>
      </c>
      <c r="G35">
        <v>4</v>
      </c>
      <c r="H35" s="1">
        <v>13.3</v>
      </c>
      <c r="I35" s="1">
        <v>55.7</v>
      </c>
      <c r="J35" s="1">
        <v>29.5</v>
      </c>
      <c r="K35" s="1">
        <v>6.33</v>
      </c>
      <c r="L35" s="34">
        <f t="shared" ref="L35:L66" si="3">J35*K35</f>
        <v>186.73500000000001</v>
      </c>
      <c r="M35" s="55">
        <v>45922.581226851849</v>
      </c>
      <c r="N35" s="1">
        <v>20.58</v>
      </c>
      <c r="O35" s="1">
        <v>15.9</v>
      </c>
      <c r="P35" s="1">
        <v>57.6</v>
      </c>
      <c r="Q35" s="56">
        <f t="shared" ref="Q35:Q66" si="4">((43560/L35)*(N35)*((100-O35)/88))</f>
        <v>4587.972849224836</v>
      </c>
      <c r="R35" s="34">
        <f t="shared" ref="R35:R66" si="5">Q35/50</f>
        <v>91.759456984496722</v>
      </c>
      <c r="V35" s="55">
        <v>45922.562349537038</v>
      </c>
      <c r="W35">
        <v>7</v>
      </c>
      <c r="X35">
        <v>3</v>
      </c>
      <c r="Y35">
        <v>33</v>
      </c>
      <c r="Z35">
        <v>19.89</v>
      </c>
      <c r="AA35">
        <v>14.8</v>
      </c>
      <c r="AB35">
        <v>57.9</v>
      </c>
      <c r="AC35">
        <v>34</v>
      </c>
    </row>
    <row r="36" spans="1:29" x14ac:dyDescent="0.25">
      <c r="A36" s="5" t="s">
        <v>58</v>
      </c>
      <c r="B36" s="5" t="s">
        <v>208</v>
      </c>
      <c r="C36" s="1">
        <v>5</v>
      </c>
      <c r="D36" s="1">
        <v>98</v>
      </c>
      <c r="E36" s="1">
        <v>5</v>
      </c>
      <c r="F36">
        <v>4</v>
      </c>
      <c r="G36">
        <v>8</v>
      </c>
      <c r="H36" s="1">
        <v>13.1</v>
      </c>
      <c r="I36" s="1">
        <v>55.4</v>
      </c>
      <c r="J36" s="1">
        <v>29.5</v>
      </c>
      <c r="K36" s="1">
        <v>6.33</v>
      </c>
      <c r="L36" s="34">
        <f t="shared" si="3"/>
        <v>186.73500000000001</v>
      </c>
      <c r="M36" s="55">
        <v>45922.630682870367</v>
      </c>
      <c r="N36" s="1">
        <v>19.91</v>
      </c>
      <c r="O36" s="1">
        <v>16.399999999999999</v>
      </c>
      <c r="P36" s="1">
        <v>58</v>
      </c>
      <c r="Q36" s="56">
        <f t="shared" si="4"/>
        <v>4412.2184914450954</v>
      </c>
      <c r="R36" s="34">
        <f t="shared" si="5"/>
        <v>88.24436982890191</v>
      </c>
      <c r="V36" s="55">
        <v>45922.575428240743</v>
      </c>
      <c r="W36">
        <v>7</v>
      </c>
      <c r="X36">
        <v>4</v>
      </c>
      <c r="Y36">
        <v>34</v>
      </c>
      <c r="Z36">
        <v>19.84</v>
      </c>
      <c r="AA36">
        <v>13.9</v>
      </c>
      <c r="AB36">
        <v>57.7</v>
      </c>
      <c r="AC36">
        <v>53</v>
      </c>
    </row>
    <row r="37" spans="1:29" x14ac:dyDescent="0.25">
      <c r="A37" s="5" t="s">
        <v>58</v>
      </c>
      <c r="B37" s="5" t="s">
        <v>208</v>
      </c>
      <c r="C37" s="1">
        <v>5</v>
      </c>
      <c r="D37" s="1">
        <v>29</v>
      </c>
      <c r="E37" s="1">
        <v>2</v>
      </c>
      <c r="F37">
        <v>6</v>
      </c>
      <c r="G37">
        <v>2</v>
      </c>
      <c r="H37" s="1">
        <v>13.4</v>
      </c>
      <c r="I37" s="1">
        <v>55.7</v>
      </c>
      <c r="J37" s="1">
        <v>29.5</v>
      </c>
      <c r="K37" s="1">
        <v>6.33</v>
      </c>
      <c r="L37" s="34">
        <f t="shared" si="3"/>
        <v>186.73500000000001</v>
      </c>
      <c r="M37" s="55">
        <v>45922.553483796299</v>
      </c>
      <c r="N37" s="1">
        <v>21.25</v>
      </c>
      <c r="O37" s="1">
        <v>15.9</v>
      </c>
      <c r="P37" s="1">
        <v>58.2</v>
      </c>
      <c r="Q37" s="56">
        <f t="shared" si="4"/>
        <v>4737.3383404289498</v>
      </c>
      <c r="R37" s="34">
        <f t="shared" si="5"/>
        <v>94.746766808578997</v>
      </c>
      <c r="V37" s="55">
        <v>45922.588263888887</v>
      </c>
      <c r="W37">
        <v>7</v>
      </c>
      <c r="X37">
        <v>5</v>
      </c>
      <c r="Y37">
        <v>35</v>
      </c>
      <c r="Z37">
        <v>18.47</v>
      </c>
      <c r="AA37">
        <v>13.2</v>
      </c>
      <c r="AB37">
        <v>57.2</v>
      </c>
      <c r="AC37">
        <v>66</v>
      </c>
    </row>
    <row r="38" spans="1:29" x14ac:dyDescent="0.25">
      <c r="A38" s="5" t="s">
        <v>58</v>
      </c>
      <c r="B38" s="5" t="s">
        <v>208</v>
      </c>
      <c r="C38" s="1">
        <v>5</v>
      </c>
      <c r="D38" s="1">
        <v>112</v>
      </c>
      <c r="E38" s="1">
        <v>6</v>
      </c>
      <c r="F38">
        <v>7</v>
      </c>
      <c r="G38">
        <v>7</v>
      </c>
      <c r="H38" s="1">
        <v>13.6</v>
      </c>
      <c r="I38" s="1">
        <v>56.7</v>
      </c>
      <c r="J38" s="1">
        <v>29.5</v>
      </c>
      <c r="K38" s="1">
        <v>6.33</v>
      </c>
      <c r="L38" s="34">
        <f t="shared" si="3"/>
        <v>186.73500000000001</v>
      </c>
      <c r="M38" s="55">
        <v>45922.621817129628</v>
      </c>
      <c r="N38" s="1">
        <v>19.43</v>
      </c>
      <c r="O38" s="1">
        <v>16.899999999999999</v>
      </c>
      <c r="P38" s="1">
        <v>58.3</v>
      </c>
      <c r="Q38" s="56">
        <f t="shared" si="4"/>
        <v>4280.0939031247481</v>
      </c>
      <c r="R38" s="34">
        <f t="shared" si="5"/>
        <v>85.601878062494961</v>
      </c>
      <c r="V38" s="55">
        <v>45922.588877314818</v>
      </c>
      <c r="W38">
        <v>8</v>
      </c>
      <c r="X38">
        <v>5</v>
      </c>
      <c r="Y38">
        <v>36</v>
      </c>
      <c r="Z38">
        <v>19.809999999999999</v>
      </c>
      <c r="AA38">
        <v>14.5</v>
      </c>
      <c r="AB38">
        <v>57.8</v>
      </c>
      <c r="AC38">
        <v>67</v>
      </c>
    </row>
    <row r="39" spans="1:29" x14ac:dyDescent="0.25">
      <c r="A39" s="5" t="s">
        <v>58</v>
      </c>
      <c r="B39" s="5" t="s">
        <v>208</v>
      </c>
      <c r="C39" s="1">
        <v>5</v>
      </c>
      <c r="D39" s="1">
        <v>121</v>
      </c>
      <c r="E39" s="1">
        <v>7</v>
      </c>
      <c r="F39">
        <v>9</v>
      </c>
      <c r="G39">
        <v>6</v>
      </c>
      <c r="H39" s="1">
        <v>14</v>
      </c>
      <c r="I39" s="1">
        <v>56.2</v>
      </c>
      <c r="J39" s="1">
        <v>29.5</v>
      </c>
      <c r="K39" s="1">
        <v>6.33</v>
      </c>
      <c r="L39" s="34">
        <f t="shared" si="3"/>
        <v>186.73500000000001</v>
      </c>
      <c r="M39" s="55">
        <v>45922.61</v>
      </c>
      <c r="N39" s="1">
        <v>23.27</v>
      </c>
      <c r="O39" s="1">
        <v>19.399999999999999</v>
      </c>
      <c r="P39" s="1">
        <v>58.4</v>
      </c>
      <c r="Q39" s="56">
        <f t="shared" si="4"/>
        <v>4971.7684954614824</v>
      </c>
      <c r="R39" s="34">
        <f t="shared" si="5"/>
        <v>99.435369909229649</v>
      </c>
      <c r="V39" s="55">
        <v>45922.57472222222</v>
      </c>
      <c r="W39">
        <v>8</v>
      </c>
      <c r="X39">
        <v>4</v>
      </c>
      <c r="Y39">
        <v>37</v>
      </c>
      <c r="Z39">
        <v>20.21</v>
      </c>
      <c r="AA39">
        <v>13.4</v>
      </c>
      <c r="AB39">
        <v>56.6</v>
      </c>
      <c r="AC39">
        <v>52</v>
      </c>
    </row>
    <row r="40" spans="1:29" x14ac:dyDescent="0.25">
      <c r="A40" s="5" t="s">
        <v>58</v>
      </c>
      <c r="B40" s="5" t="s">
        <v>208</v>
      </c>
      <c r="C40" s="1">
        <v>5</v>
      </c>
      <c r="D40" s="1">
        <v>58</v>
      </c>
      <c r="E40" s="1">
        <v>3</v>
      </c>
      <c r="F40">
        <v>12</v>
      </c>
      <c r="G40">
        <v>3</v>
      </c>
      <c r="H40" s="1">
        <v>13.3</v>
      </c>
      <c r="I40" s="1">
        <v>56.2</v>
      </c>
      <c r="J40" s="1">
        <v>29.5</v>
      </c>
      <c r="K40" s="1">
        <v>6.33</v>
      </c>
      <c r="L40" s="34">
        <f t="shared" si="3"/>
        <v>186.73500000000001</v>
      </c>
      <c r="M40" s="55">
        <v>45922.565729166665</v>
      </c>
      <c r="N40" s="1">
        <v>22.39</v>
      </c>
      <c r="O40" s="1">
        <v>17.399999999999999</v>
      </c>
      <c r="P40" s="1">
        <v>58</v>
      </c>
      <c r="Q40" s="56">
        <f t="shared" si="4"/>
        <v>4902.4549763033174</v>
      </c>
      <c r="R40" s="34">
        <f t="shared" si="5"/>
        <v>98.049099526066342</v>
      </c>
      <c r="V40" s="55">
        <v>45922.563067129631</v>
      </c>
      <c r="W40">
        <v>8</v>
      </c>
      <c r="X40">
        <v>3</v>
      </c>
      <c r="Y40">
        <v>38</v>
      </c>
      <c r="Z40">
        <v>18.72</v>
      </c>
      <c r="AA40">
        <v>15</v>
      </c>
      <c r="AB40">
        <v>57.4</v>
      </c>
      <c r="AC40">
        <v>35</v>
      </c>
    </row>
    <row r="41" spans="1:29" x14ac:dyDescent="0.25">
      <c r="A41" s="5" t="s">
        <v>58</v>
      </c>
      <c r="B41" s="5" t="s">
        <v>208</v>
      </c>
      <c r="C41" s="1">
        <v>5</v>
      </c>
      <c r="D41" s="1">
        <v>145</v>
      </c>
      <c r="E41" s="1">
        <v>8</v>
      </c>
      <c r="F41">
        <v>13</v>
      </c>
      <c r="G41">
        <v>10</v>
      </c>
      <c r="H41" s="1">
        <v>13.2</v>
      </c>
      <c r="I41" s="1">
        <v>56.7</v>
      </c>
      <c r="J41" s="1">
        <v>29.5</v>
      </c>
      <c r="K41" s="1">
        <v>6.33</v>
      </c>
      <c r="L41" s="34">
        <f t="shared" si="3"/>
        <v>186.73500000000001</v>
      </c>
      <c r="M41" s="55">
        <v>45922.658703703702</v>
      </c>
      <c r="N41" s="1">
        <v>21.74</v>
      </c>
      <c r="O41" s="1">
        <v>18.2</v>
      </c>
      <c r="P41" s="1">
        <v>58.3</v>
      </c>
      <c r="Q41" s="56">
        <f t="shared" si="4"/>
        <v>4714.0297212627511</v>
      </c>
      <c r="R41" s="34">
        <f t="shared" si="5"/>
        <v>94.280594425255018</v>
      </c>
      <c r="V41" s="55">
        <v>45922.552210648151</v>
      </c>
      <c r="W41">
        <v>8</v>
      </c>
      <c r="X41">
        <v>2</v>
      </c>
      <c r="Y41">
        <v>39</v>
      </c>
      <c r="Z41">
        <v>23.5</v>
      </c>
      <c r="AA41">
        <v>15.8</v>
      </c>
      <c r="AB41">
        <v>58</v>
      </c>
      <c r="AC41">
        <v>20</v>
      </c>
    </row>
    <row r="42" spans="1:29" x14ac:dyDescent="0.25">
      <c r="A42" s="5" t="s">
        <v>58</v>
      </c>
      <c r="B42" s="5" t="s">
        <v>208</v>
      </c>
      <c r="C42" s="1">
        <v>5</v>
      </c>
      <c r="D42" s="1">
        <v>75</v>
      </c>
      <c r="E42" s="1">
        <v>4</v>
      </c>
      <c r="F42">
        <v>15</v>
      </c>
      <c r="G42">
        <v>5</v>
      </c>
      <c r="H42" s="1">
        <v>13</v>
      </c>
      <c r="I42" s="1">
        <v>56.4</v>
      </c>
      <c r="J42" s="1">
        <v>29.5</v>
      </c>
      <c r="K42" s="1">
        <v>6.33</v>
      </c>
      <c r="L42" s="34">
        <f t="shared" si="3"/>
        <v>186.73500000000001</v>
      </c>
      <c r="M42" s="55">
        <v>45922.593576388892</v>
      </c>
      <c r="N42" s="1">
        <v>22.42</v>
      </c>
      <c r="O42" s="1">
        <v>17.100000000000001</v>
      </c>
      <c r="P42" s="1">
        <v>58</v>
      </c>
      <c r="Q42" s="56">
        <f t="shared" si="4"/>
        <v>4926.8530805687205</v>
      </c>
      <c r="R42" s="34">
        <f t="shared" si="5"/>
        <v>98.537061611374412</v>
      </c>
      <c r="V42" s="55">
        <v>45922.539525462962</v>
      </c>
      <c r="W42">
        <v>8</v>
      </c>
      <c r="X42">
        <v>1</v>
      </c>
      <c r="Y42">
        <v>40</v>
      </c>
      <c r="Z42">
        <v>15.11</v>
      </c>
      <c r="AA42">
        <v>19.5</v>
      </c>
      <c r="AB42">
        <v>58.3</v>
      </c>
      <c r="AC42">
        <v>3</v>
      </c>
    </row>
    <row r="43" spans="1:29" x14ac:dyDescent="0.25">
      <c r="A43" s="5" t="s">
        <v>58</v>
      </c>
      <c r="B43" s="5" t="s">
        <v>209</v>
      </c>
      <c r="C43" s="1">
        <v>6</v>
      </c>
      <c r="D43" s="1">
        <v>6</v>
      </c>
      <c r="E43" s="1">
        <v>1</v>
      </c>
      <c r="F43">
        <v>2</v>
      </c>
      <c r="G43">
        <v>5</v>
      </c>
      <c r="H43" s="1">
        <v>13</v>
      </c>
      <c r="I43" s="1">
        <v>56.7</v>
      </c>
      <c r="J43" s="1">
        <v>29.5</v>
      </c>
      <c r="K43" s="1">
        <v>6.33</v>
      </c>
      <c r="L43" s="34">
        <f t="shared" si="3"/>
        <v>186.73500000000001</v>
      </c>
      <c r="M43" s="55">
        <v>45922.583773148152</v>
      </c>
      <c r="N43" s="1">
        <v>21.42</v>
      </c>
      <c r="O43" s="1">
        <v>17.2</v>
      </c>
      <c r="P43" s="1">
        <v>58.4</v>
      </c>
      <c r="Q43" s="56">
        <f t="shared" si="4"/>
        <v>4701.4224435697643</v>
      </c>
      <c r="R43" s="34">
        <f t="shared" si="5"/>
        <v>94.028448871395284</v>
      </c>
      <c r="V43" s="55">
        <v>45922.540208333332</v>
      </c>
      <c r="W43">
        <v>9</v>
      </c>
      <c r="X43">
        <v>1</v>
      </c>
      <c r="Y43">
        <v>41</v>
      </c>
      <c r="Z43">
        <v>16.53</v>
      </c>
      <c r="AA43">
        <v>16.3</v>
      </c>
      <c r="AB43">
        <v>58.3</v>
      </c>
      <c r="AC43">
        <v>4</v>
      </c>
    </row>
    <row r="44" spans="1:29" x14ac:dyDescent="0.25">
      <c r="A44" s="5" t="s">
        <v>58</v>
      </c>
      <c r="B44" s="5" t="s">
        <v>209</v>
      </c>
      <c r="C44" s="1">
        <v>6</v>
      </c>
      <c r="D44" s="1">
        <v>87</v>
      </c>
      <c r="E44" s="1">
        <v>5</v>
      </c>
      <c r="F44">
        <v>2</v>
      </c>
      <c r="G44">
        <v>9</v>
      </c>
      <c r="H44" s="1">
        <v>12.2</v>
      </c>
      <c r="I44" s="1">
        <v>55.9</v>
      </c>
      <c r="J44" s="1">
        <v>29.5</v>
      </c>
      <c r="K44" s="1">
        <v>6.33</v>
      </c>
      <c r="L44" s="34">
        <f t="shared" si="3"/>
        <v>186.73500000000001</v>
      </c>
      <c r="M44" s="55">
        <v>45922.649594907409</v>
      </c>
      <c r="N44" s="1">
        <v>19.82</v>
      </c>
      <c r="O44" s="1">
        <v>13.4</v>
      </c>
      <c r="P44" s="1">
        <v>58.2</v>
      </c>
      <c r="Q44" s="56">
        <f t="shared" si="4"/>
        <v>4549.891236243875</v>
      </c>
      <c r="R44" s="34">
        <f t="shared" si="5"/>
        <v>90.997824724877503</v>
      </c>
      <c r="V44" s="55">
        <v>45922.551481481481</v>
      </c>
      <c r="W44">
        <v>9</v>
      </c>
      <c r="X44">
        <v>2</v>
      </c>
      <c r="Y44">
        <v>42</v>
      </c>
      <c r="Z44">
        <v>18.43</v>
      </c>
      <c r="AA44">
        <v>13.7</v>
      </c>
      <c r="AB44">
        <v>56.6</v>
      </c>
      <c r="AC44">
        <v>19</v>
      </c>
    </row>
    <row r="45" spans="1:29" x14ac:dyDescent="0.25">
      <c r="A45" s="5" t="s">
        <v>58</v>
      </c>
      <c r="B45" s="5" t="s">
        <v>209</v>
      </c>
      <c r="C45" s="1">
        <v>6</v>
      </c>
      <c r="D45" s="1">
        <v>115</v>
      </c>
      <c r="E45" s="1">
        <v>6</v>
      </c>
      <c r="F45">
        <v>7</v>
      </c>
      <c r="G45">
        <v>10</v>
      </c>
      <c r="H45" s="1">
        <v>12.5</v>
      </c>
      <c r="I45" s="1">
        <v>56.5</v>
      </c>
      <c r="J45" s="1">
        <v>29.5</v>
      </c>
      <c r="K45" s="1">
        <v>6.33</v>
      </c>
      <c r="L45" s="34">
        <f t="shared" si="3"/>
        <v>186.73500000000001</v>
      </c>
      <c r="M45" s="55">
        <v>45922.655023148145</v>
      </c>
      <c r="N45" s="1">
        <v>20.13</v>
      </c>
      <c r="O45" s="1">
        <v>14.9</v>
      </c>
      <c r="P45" s="1">
        <v>58.4</v>
      </c>
      <c r="Q45" s="56">
        <f t="shared" si="4"/>
        <v>4541.0136557153173</v>
      </c>
      <c r="R45" s="34">
        <f t="shared" si="5"/>
        <v>90.820273114306346</v>
      </c>
      <c r="V45" s="55">
        <v>45922.563761574071</v>
      </c>
      <c r="W45">
        <v>9</v>
      </c>
      <c r="X45">
        <v>3</v>
      </c>
      <c r="Y45">
        <v>43</v>
      </c>
      <c r="Z45">
        <v>20.78</v>
      </c>
      <c r="AA45">
        <v>14.3</v>
      </c>
      <c r="AB45">
        <v>57.3</v>
      </c>
      <c r="AC45">
        <v>36</v>
      </c>
    </row>
    <row r="46" spans="1:29" x14ac:dyDescent="0.25">
      <c r="A46" s="5" t="s">
        <v>58</v>
      </c>
      <c r="B46" s="5" t="s">
        <v>209</v>
      </c>
      <c r="C46" s="1">
        <v>6</v>
      </c>
      <c r="D46" s="1">
        <v>36</v>
      </c>
      <c r="E46" s="1">
        <v>2</v>
      </c>
      <c r="F46">
        <v>8</v>
      </c>
      <c r="G46">
        <v>5</v>
      </c>
      <c r="H46" s="1">
        <v>12.4</v>
      </c>
      <c r="I46" s="1">
        <v>56.6</v>
      </c>
      <c r="J46" s="1">
        <v>29.5</v>
      </c>
      <c r="K46" s="1">
        <v>6.33</v>
      </c>
      <c r="L46" s="34">
        <f t="shared" si="3"/>
        <v>186.73500000000001</v>
      </c>
      <c r="M46" s="55">
        <v>45922.588877314818</v>
      </c>
      <c r="N46" s="1">
        <v>19.809999999999999</v>
      </c>
      <c r="O46" s="1">
        <v>14.5</v>
      </c>
      <c r="P46" s="1">
        <v>57.8</v>
      </c>
      <c r="Q46" s="56">
        <f t="shared" si="4"/>
        <v>4489.831713390633</v>
      </c>
      <c r="R46" s="34">
        <f t="shared" si="5"/>
        <v>89.796634267812664</v>
      </c>
      <c r="V46" s="55">
        <v>45922.574050925927</v>
      </c>
      <c r="W46">
        <v>9</v>
      </c>
      <c r="X46">
        <v>4</v>
      </c>
      <c r="Y46">
        <v>44</v>
      </c>
      <c r="Z46">
        <v>23.29</v>
      </c>
      <c r="AA46">
        <v>14.2</v>
      </c>
      <c r="AB46">
        <v>57.8</v>
      </c>
      <c r="AC46">
        <v>51</v>
      </c>
    </row>
    <row r="47" spans="1:29" x14ac:dyDescent="0.25">
      <c r="A47" s="5" t="s">
        <v>58</v>
      </c>
      <c r="B47" s="5" t="s">
        <v>209</v>
      </c>
      <c r="C47" s="1">
        <v>6</v>
      </c>
      <c r="D47" s="1">
        <v>44</v>
      </c>
      <c r="E47" s="1">
        <v>3</v>
      </c>
      <c r="F47">
        <v>9</v>
      </c>
      <c r="G47">
        <v>4</v>
      </c>
      <c r="H47" s="1">
        <v>13.1</v>
      </c>
      <c r="I47" s="1">
        <v>56.5</v>
      </c>
      <c r="J47" s="1">
        <v>29.5</v>
      </c>
      <c r="K47" s="1">
        <v>6.33</v>
      </c>
      <c r="L47" s="34">
        <f t="shared" si="3"/>
        <v>186.73500000000001</v>
      </c>
      <c r="M47" s="55">
        <v>45922.574050925927</v>
      </c>
      <c r="N47" s="1">
        <v>23.29</v>
      </c>
      <c r="O47" s="1">
        <v>14.2</v>
      </c>
      <c r="P47" s="1">
        <v>57.8</v>
      </c>
      <c r="Q47" s="56">
        <f t="shared" si="4"/>
        <v>5297.0765523335203</v>
      </c>
      <c r="R47" s="34">
        <f t="shared" si="5"/>
        <v>105.94153104667041</v>
      </c>
      <c r="V47" s="55">
        <v>45922.58966435185</v>
      </c>
      <c r="W47">
        <v>9</v>
      </c>
      <c r="X47">
        <v>5</v>
      </c>
      <c r="Y47">
        <v>45</v>
      </c>
      <c r="Z47">
        <v>20.75</v>
      </c>
      <c r="AA47">
        <v>15.1</v>
      </c>
      <c r="AB47">
        <v>57.7</v>
      </c>
      <c r="AC47">
        <v>68</v>
      </c>
    </row>
    <row r="48" spans="1:29" x14ac:dyDescent="0.25">
      <c r="A48" s="5" t="s">
        <v>58</v>
      </c>
      <c r="B48" s="5" t="s">
        <v>209</v>
      </c>
      <c r="C48" s="1">
        <v>6</v>
      </c>
      <c r="D48" s="1">
        <v>128</v>
      </c>
      <c r="E48" s="1">
        <v>7</v>
      </c>
      <c r="F48">
        <v>10</v>
      </c>
      <c r="G48">
        <v>8</v>
      </c>
      <c r="H48" s="1">
        <v>12.7</v>
      </c>
      <c r="I48" s="1">
        <v>56.6</v>
      </c>
      <c r="J48" s="1">
        <v>29.5</v>
      </c>
      <c r="K48" s="1">
        <v>6.33</v>
      </c>
      <c r="L48" s="34">
        <f t="shared" si="3"/>
        <v>186.73500000000001</v>
      </c>
      <c r="M48" s="55">
        <v>45922.634965277779</v>
      </c>
      <c r="N48" s="1">
        <v>17.32</v>
      </c>
      <c r="O48" s="1">
        <v>16.5</v>
      </c>
      <c r="P48" s="1">
        <v>57.8</v>
      </c>
      <c r="Q48" s="56">
        <f t="shared" si="4"/>
        <v>3833.6621415374725</v>
      </c>
      <c r="R48" s="34">
        <f t="shared" si="5"/>
        <v>76.673242830749444</v>
      </c>
      <c r="V48" s="55">
        <v>45922.590358796297</v>
      </c>
      <c r="W48">
        <v>10</v>
      </c>
      <c r="X48">
        <v>5</v>
      </c>
      <c r="Y48">
        <v>46</v>
      </c>
      <c r="Z48">
        <v>19.850000000000001</v>
      </c>
      <c r="AA48">
        <v>15</v>
      </c>
      <c r="AB48">
        <v>58.1</v>
      </c>
      <c r="AC48">
        <v>69</v>
      </c>
    </row>
    <row r="49" spans="1:29" x14ac:dyDescent="0.25">
      <c r="A49" s="5" t="s">
        <v>58</v>
      </c>
      <c r="B49" s="5" t="s">
        <v>209</v>
      </c>
      <c r="C49" s="1">
        <v>6</v>
      </c>
      <c r="D49" s="1">
        <v>72</v>
      </c>
      <c r="E49" s="1">
        <v>4</v>
      </c>
      <c r="F49">
        <v>15</v>
      </c>
      <c r="G49">
        <v>2</v>
      </c>
      <c r="H49" s="1">
        <v>14.1</v>
      </c>
      <c r="I49" s="1">
        <v>53.8</v>
      </c>
      <c r="J49" s="1">
        <v>29.5</v>
      </c>
      <c r="K49" s="1">
        <v>6.33</v>
      </c>
      <c r="L49" s="34">
        <f t="shared" si="3"/>
        <v>186.73500000000001</v>
      </c>
      <c r="M49" s="55">
        <v>45922.547430555554</v>
      </c>
      <c r="N49" s="1">
        <v>15.88</v>
      </c>
      <c r="O49" s="1">
        <v>15.6</v>
      </c>
      <c r="P49" s="1">
        <v>56.9</v>
      </c>
      <c r="Q49" s="56">
        <f t="shared" si="4"/>
        <v>3552.8135593220336</v>
      </c>
      <c r="R49" s="34">
        <f t="shared" si="5"/>
        <v>71.056271186440668</v>
      </c>
      <c r="V49" s="55">
        <v>45922.573321759257</v>
      </c>
      <c r="W49">
        <v>10</v>
      </c>
      <c r="X49">
        <v>4</v>
      </c>
      <c r="Y49">
        <v>47</v>
      </c>
      <c r="Z49">
        <v>22.91</v>
      </c>
      <c r="AA49">
        <v>15.9</v>
      </c>
      <c r="AB49">
        <v>58.7</v>
      </c>
      <c r="AC49">
        <v>50</v>
      </c>
    </row>
    <row r="50" spans="1:29" x14ac:dyDescent="0.25">
      <c r="A50" s="5" t="s">
        <v>58</v>
      </c>
      <c r="B50" s="5" t="s">
        <v>209</v>
      </c>
      <c r="C50" s="1">
        <v>6</v>
      </c>
      <c r="D50" s="1">
        <v>160</v>
      </c>
      <c r="E50" s="1">
        <v>8</v>
      </c>
      <c r="F50">
        <v>16</v>
      </c>
      <c r="G50">
        <v>6</v>
      </c>
      <c r="H50" s="1">
        <v>12.7</v>
      </c>
      <c r="I50" s="1">
        <v>56.5</v>
      </c>
      <c r="J50" s="1">
        <v>29.5</v>
      </c>
      <c r="K50" s="1">
        <v>6.33</v>
      </c>
      <c r="L50" s="34">
        <f t="shared" si="3"/>
        <v>186.73500000000001</v>
      </c>
      <c r="M50" s="55">
        <v>45922.615231481483</v>
      </c>
      <c r="N50" s="1">
        <v>17.54</v>
      </c>
      <c r="O50" s="1">
        <v>14.6</v>
      </c>
      <c r="P50" s="1">
        <v>58.3</v>
      </c>
      <c r="Q50" s="56">
        <f t="shared" si="4"/>
        <v>3970.6986906578841</v>
      </c>
      <c r="R50" s="34">
        <f t="shared" si="5"/>
        <v>79.413973813157682</v>
      </c>
      <c r="V50" s="55">
        <v>45922.564432870371</v>
      </c>
      <c r="W50">
        <v>10</v>
      </c>
      <c r="X50">
        <v>3</v>
      </c>
      <c r="Y50">
        <v>48</v>
      </c>
      <c r="Z50">
        <v>23.38</v>
      </c>
      <c r="AA50">
        <v>17</v>
      </c>
      <c r="AB50">
        <v>58</v>
      </c>
      <c r="AC50">
        <v>37</v>
      </c>
    </row>
    <row r="51" spans="1:29" x14ac:dyDescent="0.25">
      <c r="A51" s="5" t="s">
        <v>58</v>
      </c>
      <c r="B51" s="5" t="s">
        <v>210</v>
      </c>
      <c r="C51" s="1">
        <v>7</v>
      </c>
      <c r="D51" s="1">
        <v>90</v>
      </c>
      <c r="E51" s="1">
        <v>5</v>
      </c>
      <c r="F51">
        <v>2</v>
      </c>
      <c r="G51">
        <v>6</v>
      </c>
      <c r="H51" s="1">
        <v>12.4</v>
      </c>
      <c r="I51" s="1">
        <v>55.5</v>
      </c>
      <c r="J51" s="1">
        <v>29.5</v>
      </c>
      <c r="K51" s="1">
        <v>6.33</v>
      </c>
      <c r="L51" s="34">
        <f t="shared" si="3"/>
        <v>186.73500000000001</v>
      </c>
      <c r="M51" s="55">
        <v>45922.604317129626</v>
      </c>
      <c r="N51" s="1">
        <v>18.760000000000002</v>
      </c>
      <c r="O51" s="1">
        <v>13.6</v>
      </c>
      <c r="P51" s="1">
        <v>57.5</v>
      </c>
      <c r="Q51" s="56">
        <f t="shared" si="4"/>
        <v>4296.6111334243715</v>
      </c>
      <c r="R51" s="34">
        <f t="shared" si="5"/>
        <v>85.932222668487427</v>
      </c>
      <c r="V51" s="55">
        <v>45922.550833333335</v>
      </c>
      <c r="W51">
        <v>10</v>
      </c>
      <c r="X51">
        <v>2</v>
      </c>
      <c r="Y51">
        <v>49</v>
      </c>
      <c r="Z51">
        <v>20</v>
      </c>
      <c r="AA51">
        <v>13.7</v>
      </c>
      <c r="AB51">
        <v>56.6</v>
      </c>
      <c r="AC51">
        <v>18</v>
      </c>
    </row>
    <row r="52" spans="1:29" x14ac:dyDescent="0.25">
      <c r="A52" s="5" t="s">
        <v>58</v>
      </c>
      <c r="B52" s="5" t="s">
        <v>210</v>
      </c>
      <c r="C52" s="1">
        <v>7</v>
      </c>
      <c r="D52" s="1">
        <v>12</v>
      </c>
      <c r="E52" s="1">
        <v>1</v>
      </c>
      <c r="F52">
        <v>3</v>
      </c>
      <c r="G52">
        <v>2</v>
      </c>
      <c r="H52" s="1">
        <v>12.6</v>
      </c>
      <c r="I52" s="1">
        <v>55.3</v>
      </c>
      <c r="J52" s="1">
        <v>29.5</v>
      </c>
      <c r="K52" s="1">
        <v>6.33</v>
      </c>
      <c r="L52" s="34">
        <f t="shared" si="3"/>
        <v>186.73500000000001</v>
      </c>
      <c r="M52" s="55">
        <v>45922.555914351855</v>
      </c>
      <c r="N52" s="1">
        <v>20.98</v>
      </c>
      <c r="O52" s="1">
        <v>13.4</v>
      </c>
      <c r="P52" s="1">
        <v>57.3</v>
      </c>
      <c r="Q52" s="56">
        <f t="shared" si="4"/>
        <v>4816.1815406859987</v>
      </c>
      <c r="R52" s="34">
        <f t="shared" si="5"/>
        <v>96.323630813719973</v>
      </c>
      <c r="V52" s="55">
        <v>45922.540983796294</v>
      </c>
      <c r="W52">
        <v>10</v>
      </c>
      <c r="X52">
        <v>1</v>
      </c>
      <c r="Y52">
        <v>50</v>
      </c>
      <c r="Z52">
        <v>13.79</v>
      </c>
      <c r="AA52">
        <v>17.7</v>
      </c>
      <c r="AB52">
        <v>57.6</v>
      </c>
      <c r="AC52">
        <v>5</v>
      </c>
    </row>
    <row r="53" spans="1:29" x14ac:dyDescent="0.25">
      <c r="A53" s="5" t="s">
        <v>58</v>
      </c>
      <c r="B53" s="5" t="s">
        <v>210</v>
      </c>
      <c r="C53" s="1">
        <v>7</v>
      </c>
      <c r="D53" s="1">
        <v>106</v>
      </c>
      <c r="E53" s="1">
        <v>6</v>
      </c>
      <c r="F53">
        <v>6</v>
      </c>
      <c r="G53">
        <v>10</v>
      </c>
      <c r="H53" s="1">
        <v>12</v>
      </c>
      <c r="I53" s="1">
        <v>55.6</v>
      </c>
      <c r="J53" s="1">
        <v>29.5</v>
      </c>
      <c r="K53" s="1">
        <v>6.33</v>
      </c>
      <c r="L53" s="34">
        <f t="shared" si="3"/>
        <v>186.73500000000001</v>
      </c>
      <c r="M53" s="55">
        <v>45922.654444444444</v>
      </c>
      <c r="N53" s="1">
        <v>19.47</v>
      </c>
      <c r="O53" s="1">
        <v>14.1</v>
      </c>
      <c r="P53" s="1">
        <v>57.7</v>
      </c>
      <c r="Q53" s="56">
        <f t="shared" si="4"/>
        <v>4433.4170616113743</v>
      </c>
      <c r="R53" s="34">
        <f t="shared" si="5"/>
        <v>88.66834123222749</v>
      </c>
      <c r="V53" s="55">
        <v>45922.541863425926</v>
      </c>
      <c r="W53">
        <v>11</v>
      </c>
      <c r="X53">
        <v>1</v>
      </c>
      <c r="Y53">
        <v>51</v>
      </c>
      <c r="Z53">
        <v>14.7</v>
      </c>
      <c r="AA53">
        <v>19.8</v>
      </c>
      <c r="AB53">
        <v>58.2</v>
      </c>
      <c r="AC53">
        <v>6</v>
      </c>
    </row>
    <row r="54" spans="1:29" x14ac:dyDescent="0.25">
      <c r="A54" s="5" t="s">
        <v>58</v>
      </c>
      <c r="B54" s="5" t="s">
        <v>210</v>
      </c>
      <c r="C54" s="1">
        <v>7</v>
      </c>
      <c r="D54" s="1">
        <v>37</v>
      </c>
      <c r="E54" s="1">
        <v>2</v>
      </c>
      <c r="F54">
        <v>8</v>
      </c>
      <c r="G54">
        <v>4</v>
      </c>
      <c r="H54" s="1">
        <v>12.7</v>
      </c>
      <c r="I54" s="1">
        <v>55.6</v>
      </c>
      <c r="J54" s="1">
        <v>29.5</v>
      </c>
      <c r="K54" s="1">
        <v>6.33</v>
      </c>
      <c r="L54" s="34">
        <f t="shared" si="3"/>
        <v>186.73500000000001</v>
      </c>
      <c r="M54" s="55">
        <v>45922.57472222222</v>
      </c>
      <c r="N54" s="1">
        <v>20.21</v>
      </c>
      <c r="O54" s="1">
        <v>13.4</v>
      </c>
      <c r="P54" s="1">
        <v>56.6</v>
      </c>
      <c r="Q54" s="56">
        <f t="shared" si="4"/>
        <v>4639.4198730821745</v>
      </c>
      <c r="R54" s="34">
        <f t="shared" si="5"/>
        <v>92.788397461643484</v>
      </c>
      <c r="V54" s="55">
        <v>45922.550185185188</v>
      </c>
      <c r="W54">
        <v>11</v>
      </c>
      <c r="X54">
        <v>2</v>
      </c>
      <c r="Y54">
        <v>52</v>
      </c>
      <c r="Z54">
        <v>21.96</v>
      </c>
      <c r="AA54">
        <v>17.5</v>
      </c>
      <c r="AB54">
        <v>58.3</v>
      </c>
      <c r="AC54">
        <v>17</v>
      </c>
    </row>
    <row r="55" spans="1:29" x14ac:dyDescent="0.25">
      <c r="A55" s="5" t="s">
        <v>58</v>
      </c>
      <c r="B55" s="5" t="s">
        <v>210</v>
      </c>
      <c r="C55" s="1">
        <v>7</v>
      </c>
      <c r="D55" s="1">
        <v>43</v>
      </c>
      <c r="E55" s="1">
        <v>3</v>
      </c>
      <c r="F55">
        <v>9</v>
      </c>
      <c r="G55">
        <v>3</v>
      </c>
      <c r="H55" s="1">
        <v>12.3</v>
      </c>
      <c r="I55" s="1">
        <v>55.8</v>
      </c>
      <c r="J55" s="1">
        <v>29.5</v>
      </c>
      <c r="K55" s="1">
        <v>6.33</v>
      </c>
      <c r="L55" s="34">
        <f t="shared" si="3"/>
        <v>186.73500000000001</v>
      </c>
      <c r="M55" s="55">
        <v>45922.563761574071</v>
      </c>
      <c r="N55" s="1">
        <v>20.78</v>
      </c>
      <c r="O55" s="1">
        <v>14.3</v>
      </c>
      <c r="P55" s="1">
        <v>57.3</v>
      </c>
      <c r="Q55" s="56">
        <f t="shared" si="4"/>
        <v>4720.6938709936539</v>
      </c>
      <c r="R55" s="34">
        <f t="shared" si="5"/>
        <v>94.413877419873074</v>
      </c>
      <c r="V55" s="55">
        <v>45922.565081018518</v>
      </c>
      <c r="W55">
        <v>11</v>
      </c>
      <c r="X55">
        <v>3</v>
      </c>
      <c r="Y55">
        <v>53</v>
      </c>
      <c r="Z55">
        <v>19.510000000000002</v>
      </c>
      <c r="AA55">
        <v>15</v>
      </c>
      <c r="AB55">
        <v>57.6</v>
      </c>
      <c r="AC55">
        <v>38</v>
      </c>
    </row>
    <row r="56" spans="1:29" x14ac:dyDescent="0.25">
      <c r="A56" s="5" t="s">
        <v>58</v>
      </c>
      <c r="B56" s="5" t="s">
        <v>210</v>
      </c>
      <c r="C56" s="1">
        <v>7</v>
      </c>
      <c r="D56" s="1">
        <v>139</v>
      </c>
      <c r="E56" s="1">
        <v>7</v>
      </c>
      <c r="F56">
        <v>12</v>
      </c>
      <c r="G56">
        <v>7</v>
      </c>
      <c r="H56" s="1">
        <v>12.4</v>
      </c>
      <c r="I56" s="1">
        <v>56.1</v>
      </c>
      <c r="J56" s="1">
        <v>29.5</v>
      </c>
      <c r="K56" s="1">
        <v>6.33</v>
      </c>
      <c r="L56" s="34">
        <f t="shared" si="3"/>
        <v>186.73500000000001</v>
      </c>
      <c r="M56" s="55">
        <v>45922.618530092594</v>
      </c>
      <c r="N56" s="1">
        <v>19.329999999999998</v>
      </c>
      <c r="O56" s="1">
        <v>13.7</v>
      </c>
      <c r="P56" s="1">
        <v>57.8</v>
      </c>
      <c r="Q56" s="56">
        <f t="shared" si="4"/>
        <v>4422.0344605992441</v>
      </c>
      <c r="R56" s="34">
        <f t="shared" si="5"/>
        <v>88.440689211984875</v>
      </c>
      <c r="V56" s="55">
        <v>45922.572731481479</v>
      </c>
      <c r="W56">
        <v>11</v>
      </c>
      <c r="X56">
        <v>4</v>
      </c>
      <c r="Y56">
        <v>54</v>
      </c>
      <c r="Z56">
        <v>17.57</v>
      </c>
      <c r="AA56">
        <v>14</v>
      </c>
      <c r="AB56">
        <v>58.3</v>
      </c>
      <c r="AC56">
        <v>49</v>
      </c>
    </row>
    <row r="57" spans="1:29" x14ac:dyDescent="0.25">
      <c r="A57" s="5" t="s">
        <v>58</v>
      </c>
      <c r="B57" s="5" t="s">
        <v>210</v>
      </c>
      <c r="C57" s="1">
        <v>7</v>
      </c>
      <c r="D57" s="1">
        <v>61</v>
      </c>
      <c r="E57" s="1">
        <v>4</v>
      </c>
      <c r="F57">
        <v>13</v>
      </c>
      <c r="G57">
        <v>1</v>
      </c>
      <c r="H57" s="1">
        <v>13.2</v>
      </c>
      <c r="I57" s="1">
        <v>55.6</v>
      </c>
      <c r="J57" s="1">
        <v>29.5</v>
      </c>
      <c r="K57" s="1">
        <v>6.33</v>
      </c>
      <c r="L57" s="34">
        <f t="shared" si="3"/>
        <v>186.73500000000001</v>
      </c>
      <c r="M57" s="55">
        <v>45922.543206018519</v>
      </c>
      <c r="N57" s="1">
        <v>14.51</v>
      </c>
      <c r="O57" s="1">
        <v>16.8</v>
      </c>
      <c r="P57" s="1">
        <v>56.8</v>
      </c>
      <c r="Q57" s="56">
        <f t="shared" si="4"/>
        <v>3200.1490882801827</v>
      </c>
      <c r="R57" s="34">
        <f t="shared" si="5"/>
        <v>64.00298176560365</v>
      </c>
      <c r="V57" s="55">
        <v>45922.59097222222</v>
      </c>
      <c r="W57">
        <v>11</v>
      </c>
      <c r="X57">
        <v>5</v>
      </c>
      <c r="Y57">
        <v>55</v>
      </c>
      <c r="Z57">
        <v>20.3</v>
      </c>
      <c r="AA57">
        <v>15.3</v>
      </c>
      <c r="AB57">
        <v>58.7</v>
      </c>
      <c r="AC57">
        <v>70</v>
      </c>
    </row>
    <row r="58" spans="1:29" x14ac:dyDescent="0.25">
      <c r="A58" s="5" t="s">
        <v>58</v>
      </c>
      <c r="B58" s="5" t="s">
        <v>210</v>
      </c>
      <c r="C58" s="1">
        <v>7</v>
      </c>
      <c r="D58" s="1">
        <v>153</v>
      </c>
      <c r="E58" s="1">
        <v>8</v>
      </c>
      <c r="F58">
        <v>15</v>
      </c>
      <c r="G58">
        <v>8</v>
      </c>
      <c r="H58" s="1">
        <v>12.3</v>
      </c>
      <c r="I58" s="1">
        <v>56.3</v>
      </c>
      <c r="J58" s="1">
        <v>29.5</v>
      </c>
      <c r="K58" s="1">
        <v>6.33</v>
      </c>
      <c r="L58" s="34">
        <f t="shared" si="3"/>
        <v>186.73500000000001</v>
      </c>
      <c r="M58" s="55">
        <v>45922.639131944445</v>
      </c>
      <c r="N58" s="1">
        <v>21.02</v>
      </c>
      <c r="O58" s="1">
        <v>13.2</v>
      </c>
      <c r="P58" s="1">
        <v>57.4</v>
      </c>
      <c r="Q58" s="56">
        <f t="shared" si="4"/>
        <v>4836.507992609847</v>
      </c>
      <c r="R58" s="34">
        <f t="shared" si="5"/>
        <v>96.730159852196934</v>
      </c>
      <c r="V58" s="55">
        <v>45922.591620370367</v>
      </c>
      <c r="W58">
        <v>12</v>
      </c>
      <c r="X58">
        <v>5</v>
      </c>
      <c r="Y58">
        <v>56</v>
      </c>
      <c r="Z58">
        <v>23.3</v>
      </c>
      <c r="AA58">
        <v>17.5</v>
      </c>
      <c r="AB58">
        <v>58.9</v>
      </c>
      <c r="AC58">
        <v>71</v>
      </c>
    </row>
    <row r="59" spans="1:29" x14ac:dyDescent="0.25">
      <c r="A59" s="5" t="s">
        <v>58</v>
      </c>
      <c r="B59" s="5" t="s">
        <v>211</v>
      </c>
      <c r="C59" s="1">
        <v>8</v>
      </c>
      <c r="D59" s="1">
        <v>85</v>
      </c>
      <c r="E59" s="1">
        <v>5</v>
      </c>
      <c r="F59">
        <v>1</v>
      </c>
      <c r="G59">
        <v>10</v>
      </c>
      <c r="H59" s="1">
        <v>12.1</v>
      </c>
      <c r="I59" s="1">
        <v>56</v>
      </c>
      <c r="J59" s="1">
        <v>29.5</v>
      </c>
      <c r="K59" s="1">
        <v>6.33</v>
      </c>
      <c r="L59" s="34">
        <f t="shared" si="3"/>
        <v>186.73500000000001</v>
      </c>
      <c r="M59" s="55">
        <v>45922.651122685187</v>
      </c>
      <c r="N59" s="1">
        <v>19.43</v>
      </c>
      <c r="O59" s="1">
        <v>14.1</v>
      </c>
      <c r="P59" s="1">
        <v>58</v>
      </c>
      <c r="Q59" s="56">
        <f t="shared" si="4"/>
        <v>4424.3088601494092</v>
      </c>
      <c r="R59" s="34">
        <f t="shared" si="5"/>
        <v>88.486177202988188</v>
      </c>
      <c r="V59" s="55">
        <v>45922.572106481479</v>
      </c>
      <c r="W59">
        <v>12</v>
      </c>
      <c r="X59">
        <v>4</v>
      </c>
      <c r="Y59">
        <v>57</v>
      </c>
      <c r="Z59">
        <v>18.73</v>
      </c>
      <c r="AA59">
        <v>14.7</v>
      </c>
      <c r="AB59">
        <v>57.7</v>
      </c>
      <c r="AC59">
        <v>48</v>
      </c>
    </row>
    <row r="60" spans="1:29" x14ac:dyDescent="0.25">
      <c r="A60" s="5" t="s">
        <v>58</v>
      </c>
      <c r="B60" s="5" t="s">
        <v>211</v>
      </c>
      <c r="C60" s="1">
        <v>8</v>
      </c>
      <c r="D60" s="1">
        <v>14</v>
      </c>
      <c r="E60" s="1">
        <v>1</v>
      </c>
      <c r="F60">
        <v>3</v>
      </c>
      <c r="G60">
        <v>4</v>
      </c>
      <c r="H60" s="1">
        <v>12.9</v>
      </c>
      <c r="I60" s="1">
        <v>55.8</v>
      </c>
      <c r="J60" s="1">
        <v>29.5</v>
      </c>
      <c r="K60" s="1">
        <v>6.33</v>
      </c>
      <c r="L60" s="34">
        <f t="shared" si="3"/>
        <v>186.73500000000001</v>
      </c>
      <c r="M60" s="55">
        <v>45922.580590277779</v>
      </c>
      <c r="N60" s="1">
        <v>19.59</v>
      </c>
      <c r="O60" s="1">
        <v>15.6</v>
      </c>
      <c r="P60" s="1">
        <v>58</v>
      </c>
      <c r="Q60" s="56">
        <f t="shared" si="4"/>
        <v>4382.8474576271183</v>
      </c>
      <c r="R60" s="34">
        <f t="shared" si="5"/>
        <v>87.656949152542367</v>
      </c>
      <c r="V60" s="55">
        <v>45922.565729166665</v>
      </c>
      <c r="W60">
        <v>12</v>
      </c>
      <c r="X60">
        <v>3</v>
      </c>
      <c r="Y60">
        <v>58</v>
      </c>
      <c r="Z60">
        <v>22.39</v>
      </c>
      <c r="AA60">
        <v>17.399999999999999</v>
      </c>
      <c r="AB60">
        <v>58</v>
      </c>
      <c r="AC60">
        <v>39</v>
      </c>
    </row>
    <row r="61" spans="1:29" x14ac:dyDescent="0.25">
      <c r="A61" s="5" t="s">
        <v>58</v>
      </c>
      <c r="B61" s="5" t="s">
        <v>211</v>
      </c>
      <c r="C61" s="1">
        <v>8</v>
      </c>
      <c r="D61" s="1">
        <v>103</v>
      </c>
      <c r="E61" s="1">
        <v>6</v>
      </c>
      <c r="F61">
        <v>5</v>
      </c>
      <c r="G61">
        <v>8</v>
      </c>
      <c r="H61" s="1">
        <v>12.4</v>
      </c>
      <c r="I61" s="1">
        <v>56.8</v>
      </c>
      <c r="J61" s="1">
        <v>29.5</v>
      </c>
      <c r="K61" s="1">
        <v>6.33</v>
      </c>
      <c r="L61" s="34">
        <f t="shared" si="3"/>
        <v>186.73500000000001</v>
      </c>
      <c r="M61" s="55">
        <v>45922.631296296298</v>
      </c>
      <c r="N61" s="1">
        <v>19.22</v>
      </c>
      <c r="O61" s="1">
        <v>13.8</v>
      </c>
      <c r="P61" s="1">
        <v>58</v>
      </c>
      <c r="Q61" s="56">
        <f t="shared" si="4"/>
        <v>4391.7754036468796</v>
      </c>
      <c r="R61" s="34">
        <f t="shared" si="5"/>
        <v>87.835508072937586</v>
      </c>
      <c r="V61" s="55">
        <v>45922.549490740741</v>
      </c>
      <c r="W61">
        <v>12</v>
      </c>
      <c r="X61">
        <v>2</v>
      </c>
      <c r="Y61">
        <v>59</v>
      </c>
      <c r="Z61">
        <v>19.79</v>
      </c>
      <c r="AA61">
        <v>15</v>
      </c>
      <c r="AB61">
        <v>56.3</v>
      </c>
      <c r="AC61">
        <v>16</v>
      </c>
    </row>
    <row r="62" spans="1:29" x14ac:dyDescent="0.25">
      <c r="A62" s="5" t="s">
        <v>58</v>
      </c>
      <c r="B62" s="5" t="s">
        <v>211</v>
      </c>
      <c r="C62" s="1">
        <v>8</v>
      </c>
      <c r="D62" s="1">
        <v>33</v>
      </c>
      <c r="E62" s="1">
        <v>2</v>
      </c>
      <c r="F62">
        <v>7</v>
      </c>
      <c r="G62">
        <v>3</v>
      </c>
      <c r="H62" s="1">
        <v>12.4</v>
      </c>
      <c r="I62" s="1">
        <v>56.1</v>
      </c>
      <c r="J62" s="1">
        <v>29.5</v>
      </c>
      <c r="K62" s="1">
        <v>6.33</v>
      </c>
      <c r="L62" s="34">
        <f t="shared" si="3"/>
        <v>186.73500000000001</v>
      </c>
      <c r="M62" s="55">
        <v>45922.562349537038</v>
      </c>
      <c r="N62" s="1">
        <v>19.89</v>
      </c>
      <c r="O62" s="1">
        <v>14.8</v>
      </c>
      <c r="P62" s="1">
        <v>57.9</v>
      </c>
      <c r="Q62" s="56">
        <f t="shared" si="4"/>
        <v>4492.1458751706959</v>
      </c>
      <c r="R62" s="34">
        <f t="shared" si="5"/>
        <v>89.842917503413915</v>
      </c>
      <c r="V62" s="55">
        <v>45922.542615740742</v>
      </c>
      <c r="W62">
        <v>12</v>
      </c>
      <c r="X62">
        <v>1</v>
      </c>
      <c r="Y62">
        <v>60</v>
      </c>
      <c r="Z62">
        <v>12.62</v>
      </c>
      <c r="AA62">
        <v>16.5</v>
      </c>
      <c r="AB62">
        <v>56.6</v>
      </c>
      <c r="AC62">
        <v>7</v>
      </c>
    </row>
    <row r="63" spans="1:29" x14ac:dyDescent="0.25">
      <c r="A63" s="5" t="s">
        <v>58</v>
      </c>
      <c r="B63" s="5" t="s">
        <v>211</v>
      </c>
      <c r="C63" s="1">
        <v>8</v>
      </c>
      <c r="D63" s="1">
        <v>41</v>
      </c>
      <c r="E63" s="1">
        <v>3</v>
      </c>
      <c r="F63">
        <v>9</v>
      </c>
      <c r="G63">
        <v>1</v>
      </c>
      <c r="H63" s="1">
        <v>12.9</v>
      </c>
      <c r="I63" s="1">
        <v>56.5</v>
      </c>
      <c r="J63" s="1">
        <v>29.5</v>
      </c>
      <c r="K63" s="1">
        <v>6.33</v>
      </c>
      <c r="L63" s="34">
        <f t="shared" si="3"/>
        <v>186.73500000000001</v>
      </c>
      <c r="M63" s="55">
        <v>45922.540208333332</v>
      </c>
      <c r="N63" s="1">
        <v>16.53</v>
      </c>
      <c r="O63" s="1">
        <v>16.3</v>
      </c>
      <c r="P63" s="1">
        <v>58.3</v>
      </c>
      <c r="Q63" s="56">
        <f t="shared" si="4"/>
        <v>3667.5647039922887</v>
      </c>
      <c r="R63" s="34">
        <f t="shared" si="5"/>
        <v>73.351294079845772</v>
      </c>
      <c r="V63" s="55">
        <v>45922.543206018519</v>
      </c>
      <c r="W63">
        <v>13</v>
      </c>
      <c r="X63">
        <v>1</v>
      </c>
      <c r="Y63">
        <v>61</v>
      </c>
      <c r="Z63">
        <v>14.51</v>
      </c>
      <c r="AA63">
        <v>16.8</v>
      </c>
      <c r="AB63">
        <v>56.8</v>
      </c>
      <c r="AC63">
        <v>8</v>
      </c>
    </row>
    <row r="64" spans="1:29" x14ac:dyDescent="0.25">
      <c r="A64" s="5" t="s">
        <v>58</v>
      </c>
      <c r="B64" s="5" t="s">
        <v>211</v>
      </c>
      <c r="C64" s="1">
        <v>8</v>
      </c>
      <c r="D64" s="1">
        <v>127</v>
      </c>
      <c r="E64" s="1">
        <v>7</v>
      </c>
      <c r="F64">
        <v>10</v>
      </c>
      <c r="G64">
        <v>9</v>
      </c>
      <c r="H64" s="1">
        <v>12.7</v>
      </c>
      <c r="I64" s="1">
        <v>55.8</v>
      </c>
      <c r="J64" s="1">
        <v>29.5</v>
      </c>
      <c r="K64" s="1">
        <v>6.33</v>
      </c>
      <c r="L64" s="34">
        <f t="shared" si="3"/>
        <v>186.73500000000001</v>
      </c>
      <c r="M64" s="55">
        <v>45922.644247685188</v>
      </c>
      <c r="N64" s="1">
        <v>18.920000000000002</v>
      </c>
      <c r="O64" s="1">
        <v>15.1</v>
      </c>
      <c r="P64" s="1">
        <v>57.9</v>
      </c>
      <c r="Q64" s="56">
        <f t="shared" si="4"/>
        <v>4258.0258655313692</v>
      </c>
      <c r="R64" s="34">
        <f t="shared" si="5"/>
        <v>85.160517310627384</v>
      </c>
      <c r="V64" s="55">
        <v>45922.548819444448</v>
      </c>
      <c r="W64">
        <v>13</v>
      </c>
      <c r="X64">
        <v>2</v>
      </c>
      <c r="Y64">
        <v>62</v>
      </c>
      <c r="Z64">
        <v>20.51</v>
      </c>
      <c r="AA64">
        <v>17.2</v>
      </c>
      <c r="AB64">
        <v>58.6</v>
      </c>
      <c r="AC64">
        <v>15</v>
      </c>
    </row>
    <row r="65" spans="1:29" x14ac:dyDescent="0.25">
      <c r="A65" s="5" t="s">
        <v>58</v>
      </c>
      <c r="B65" s="5" t="s">
        <v>211</v>
      </c>
      <c r="C65" s="1">
        <v>8</v>
      </c>
      <c r="D65" s="1">
        <v>152</v>
      </c>
      <c r="E65" s="1">
        <v>8</v>
      </c>
      <c r="F65">
        <v>15</v>
      </c>
      <c r="G65">
        <v>7</v>
      </c>
      <c r="H65" s="1">
        <v>12.5</v>
      </c>
      <c r="I65" s="1">
        <v>55.6</v>
      </c>
      <c r="J65" s="1">
        <v>29.5</v>
      </c>
      <c r="K65" s="1">
        <v>6.33</v>
      </c>
      <c r="L65" s="34">
        <f t="shared" si="3"/>
        <v>186.73500000000001</v>
      </c>
      <c r="M65" s="55">
        <v>45922.616689814815</v>
      </c>
      <c r="N65" s="1">
        <v>17.760000000000002</v>
      </c>
      <c r="O65" s="1">
        <v>14.1</v>
      </c>
      <c r="P65" s="1">
        <v>57.6</v>
      </c>
      <c r="Q65" s="56">
        <f t="shared" si="4"/>
        <v>4044.0414491123788</v>
      </c>
      <c r="R65" s="34">
        <f t="shared" si="5"/>
        <v>80.880828982247579</v>
      </c>
      <c r="V65" s="55">
        <v>45922.566412037035</v>
      </c>
      <c r="W65">
        <v>13</v>
      </c>
      <c r="X65">
        <v>3</v>
      </c>
      <c r="Y65">
        <v>63</v>
      </c>
      <c r="Z65">
        <v>19.62</v>
      </c>
      <c r="AA65">
        <v>14.2</v>
      </c>
      <c r="AB65">
        <v>57.2</v>
      </c>
      <c r="AC65">
        <v>40</v>
      </c>
    </row>
    <row r="66" spans="1:29" x14ac:dyDescent="0.25">
      <c r="A66" s="5" t="s">
        <v>58</v>
      </c>
      <c r="B66" s="5" t="s">
        <v>211</v>
      </c>
      <c r="C66" s="1">
        <v>8</v>
      </c>
      <c r="D66" s="1">
        <v>76</v>
      </c>
      <c r="E66" s="1">
        <v>4</v>
      </c>
      <c r="F66">
        <v>16</v>
      </c>
      <c r="G66">
        <v>5</v>
      </c>
      <c r="H66" s="1">
        <v>12.2</v>
      </c>
      <c r="I66" s="1">
        <v>56.6</v>
      </c>
      <c r="J66" s="1">
        <v>29.5</v>
      </c>
      <c r="K66" s="1">
        <v>6.33</v>
      </c>
      <c r="L66" s="34">
        <f t="shared" si="3"/>
        <v>186.73500000000001</v>
      </c>
      <c r="M66" s="55">
        <v>45922.594143518516</v>
      </c>
      <c r="N66" s="1">
        <v>19.28</v>
      </c>
      <c r="O66" s="1">
        <v>14.2</v>
      </c>
      <c r="P66" s="1">
        <v>58.1</v>
      </c>
      <c r="Q66" s="56">
        <f t="shared" si="4"/>
        <v>4385.0423327174876</v>
      </c>
      <c r="R66" s="34">
        <f t="shared" si="5"/>
        <v>87.700846654349746</v>
      </c>
      <c r="V66" s="55">
        <v>45922.571458333332</v>
      </c>
      <c r="W66">
        <v>13</v>
      </c>
      <c r="X66">
        <v>4</v>
      </c>
      <c r="Y66">
        <v>64</v>
      </c>
      <c r="Z66">
        <v>22.54</v>
      </c>
      <c r="AA66">
        <v>16.3</v>
      </c>
      <c r="AB66">
        <v>58</v>
      </c>
      <c r="AC66">
        <v>47</v>
      </c>
    </row>
    <row r="67" spans="1:29" x14ac:dyDescent="0.25">
      <c r="A67" s="5" t="s">
        <v>58</v>
      </c>
      <c r="B67" s="5" t="s">
        <v>212</v>
      </c>
      <c r="C67" s="1">
        <v>9</v>
      </c>
      <c r="D67" s="1">
        <v>88</v>
      </c>
      <c r="E67" s="1">
        <v>5</v>
      </c>
      <c r="F67">
        <v>2</v>
      </c>
      <c r="G67">
        <v>8</v>
      </c>
      <c r="H67" s="1">
        <v>12.6</v>
      </c>
      <c r="I67" s="1">
        <v>54.5</v>
      </c>
      <c r="J67" s="1">
        <v>29.5</v>
      </c>
      <c r="K67" s="1">
        <v>6.33</v>
      </c>
      <c r="L67" s="34">
        <f t="shared" ref="L67:L98" si="6">J67*K67</f>
        <v>186.73500000000001</v>
      </c>
      <c r="M67" s="55">
        <v>45922.629270833335</v>
      </c>
      <c r="N67" s="1">
        <v>17.420000000000002</v>
      </c>
      <c r="O67" s="1">
        <v>14</v>
      </c>
      <c r="P67" s="1">
        <v>57.3</v>
      </c>
      <c r="Q67" s="56">
        <f t="shared" ref="Q67:Q98" si="7">((43560/L67)*(N67)*((100-O67)/88))</f>
        <v>3971.2394569844969</v>
      </c>
      <c r="R67" s="34">
        <f t="shared" ref="R67:R98" si="8">Q67/50</f>
        <v>79.424789139689935</v>
      </c>
      <c r="V67" s="55">
        <v>45922.592256944445</v>
      </c>
      <c r="W67">
        <v>13</v>
      </c>
      <c r="X67">
        <v>5</v>
      </c>
      <c r="Y67">
        <v>65</v>
      </c>
      <c r="Z67">
        <v>18.75</v>
      </c>
      <c r="AA67">
        <v>13.8</v>
      </c>
      <c r="AB67">
        <v>57.2</v>
      </c>
      <c r="AC67">
        <v>72</v>
      </c>
    </row>
    <row r="68" spans="1:29" x14ac:dyDescent="0.25">
      <c r="A68" s="5" t="s">
        <v>58</v>
      </c>
      <c r="B68" s="5" t="s">
        <v>212</v>
      </c>
      <c r="C68" s="1">
        <v>9</v>
      </c>
      <c r="D68" s="1">
        <v>15</v>
      </c>
      <c r="E68" s="1">
        <v>1</v>
      </c>
      <c r="F68">
        <v>3</v>
      </c>
      <c r="G68">
        <v>5</v>
      </c>
      <c r="H68" s="1">
        <v>12.5</v>
      </c>
      <c r="I68" s="1">
        <v>55.1</v>
      </c>
      <c r="J68" s="1">
        <v>29.5</v>
      </c>
      <c r="K68" s="1">
        <v>6.33</v>
      </c>
      <c r="L68" s="34">
        <f t="shared" si="6"/>
        <v>186.73500000000001</v>
      </c>
      <c r="M68" s="55">
        <v>45922.584421296298</v>
      </c>
      <c r="N68" s="1">
        <v>16.670000000000002</v>
      </c>
      <c r="O68" s="1">
        <v>14.5</v>
      </c>
      <c r="P68" s="1">
        <v>57.3</v>
      </c>
      <c r="Q68" s="56">
        <f t="shared" si="7"/>
        <v>3778.1673226765201</v>
      </c>
      <c r="R68" s="34">
        <f t="shared" si="8"/>
        <v>75.5633464535304</v>
      </c>
      <c r="V68" s="55">
        <v>45922.592893518522</v>
      </c>
      <c r="W68">
        <v>14</v>
      </c>
      <c r="X68">
        <v>5</v>
      </c>
      <c r="Y68">
        <v>66</v>
      </c>
      <c r="Z68">
        <v>21.27</v>
      </c>
      <c r="AA68">
        <v>17.600000000000001</v>
      </c>
      <c r="AB68">
        <v>58.7</v>
      </c>
      <c r="AC68">
        <v>73</v>
      </c>
    </row>
    <row r="69" spans="1:29" x14ac:dyDescent="0.25">
      <c r="A69" s="5" t="s">
        <v>58</v>
      </c>
      <c r="B69" s="5" t="s">
        <v>212</v>
      </c>
      <c r="C69" s="1">
        <v>9</v>
      </c>
      <c r="D69" s="1">
        <v>105</v>
      </c>
      <c r="E69" s="1">
        <v>6</v>
      </c>
      <c r="F69">
        <v>5</v>
      </c>
      <c r="G69">
        <v>10</v>
      </c>
      <c r="H69" s="1">
        <v>12.2</v>
      </c>
      <c r="I69" s="1">
        <v>54.7</v>
      </c>
      <c r="J69" s="1">
        <v>29.5</v>
      </c>
      <c r="K69" s="1">
        <v>6.33</v>
      </c>
      <c r="L69" s="34">
        <f t="shared" si="6"/>
        <v>186.73500000000001</v>
      </c>
      <c r="M69" s="55">
        <v>45922.653784722221</v>
      </c>
      <c r="N69" s="1">
        <v>16.57</v>
      </c>
      <c r="O69" s="1">
        <v>14.5</v>
      </c>
      <c r="P69" s="1">
        <v>57.3</v>
      </c>
      <c r="Q69" s="56">
        <f t="shared" si="7"/>
        <v>3755.5028516346692</v>
      </c>
      <c r="R69" s="34">
        <f t="shared" si="8"/>
        <v>75.110057032693391</v>
      </c>
      <c r="V69" s="55">
        <v>45922.570393518516</v>
      </c>
      <c r="W69">
        <v>14</v>
      </c>
      <c r="X69">
        <v>4</v>
      </c>
      <c r="Y69">
        <v>67</v>
      </c>
      <c r="Z69">
        <v>18.68</v>
      </c>
      <c r="AA69">
        <v>14.6</v>
      </c>
      <c r="AB69">
        <v>57.8</v>
      </c>
      <c r="AC69">
        <v>46</v>
      </c>
    </row>
    <row r="70" spans="1:29" s="4" customFormat="1" x14ac:dyDescent="0.25">
      <c r="A70" s="5" t="s">
        <v>58</v>
      </c>
      <c r="B70" s="5" t="s">
        <v>212</v>
      </c>
      <c r="C70" s="1">
        <v>9</v>
      </c>
      <c r="D70" s="1">
        <v>38</v>
      </c>
      <c r="E70" s="1">
        <v>2</v>
      </c>
      <c r="F70">
        <v>8</v>
      </c>
      <c r="G70">
        <v>3</v>
      </c>
      <c r="H70" s="1">
        <v>12.7</v>
      </c>
      <c r="I70" s="1">
        <v>54.5</v>
      </c>
      <c r="J70" s="1">
        <v>29.5</v>
      </c>
      <c r="K70" s="1">
        <v>6.33</v>
      </c>
      <c r="L70" s="34">
        <f t="shared" si="6"/>
        <v>186.73500000000001</v>
      </c>
      <c r="M70" s="55">
        <v>45922.563067129631</v>
      </c>
      <c r="N70" s="1">
        <v>18.72</v>
      </c>
      <c r="O70" s="1">
        <v>15</v>
      </c>
      <c r="P70" s="1">
        <v>57.4</v>
      </c>
      <c r="Q70" s="56">
        <f t="shared" si="7"/>
        <v>4217.9773475781185</v>
      </c>
      <c r="R70" s="34">
        <f t="shared" si="8"/>
        <v>84.359546951562365</v>
      </c>
      <c r="V70" s="55">
        <v>45922.567071759258</v>
      </c>
      <c r="W70">
        <v>14</v>
      </c>
      <c r="X70">
        <v>3</v>
      </c>
      <c r="Y70">
        <v>68</v>
      </c>
      <c r="Z70">
        <v>19.079999999999998</v>
      </c>
      <c r="AA70">
        <v>15</v>
      </c>
      <c r="AB70">
        <v>58.2</v>
      </c>
      <c r="AC70">
        <v>41</v>
      </c>
    </row>
    <row r="71" spans="1:29" x14ac:dyDescent="0.25">
      <c r="A71" s="5" t="s">
        <v>58</v>
      </c>
      <c r="B71" s="5" t="s">
        <v>212</v>
      </c>
      <c r="C71" s="1">
        <v>9</v>
      </c>
      <c r="D71" s="1">
        <v>124</v>
      </c>
      <c r="E71" s="1">
        <v>7</v>
      </c>
      <c r="F71">
        <v>9</v>
      </c>
      <c r="G71">
        <v>9</v>
      </c>
      <c r="H71" s="1">
        <v>12.8</v>
      </c>
      <c r="I71" s="1">
        <v>55.2</v>
      </c>
      <c r="J71" s="1">
        <v>29.5</v>
      </c>
      <c r="K71" s="1">
        <v>6.33</v>
      </c>
      <c r="L71" s="34">
        <f t="shared" si="6"/>
        <v>186.73500000000001</v>
      </c>
      <c r="M71" s="55">
        <v>45922.645046296297</v>
      </c>
      <c r="N71" s="1">
        <v>19.68</v>
      </c>
      <c r="O71" s="1">
        <v>15.8</v>
      </c>
      <c r="P71" s="1">
        <v>57</v>
      </c>
      <c r="Q71" s="56">
        <f t="shared" si="7"/>
        <v>4392.5494417222271</v>
      </c>
      <c r="R71" s="34">
        <f t="shared" si="8"/>
        <v>87.850988834444536</v>
      </c>
      <c r="V71" s="55">
        <v>45922.548067129632</v>
      </c>
      <c r="W71">
        <v>14</v>
      </c>
      <c r="X71">
        <v>2</v>
      </c>
      <c r="Y71">
        <v>69</v>
      </c>
      <c r="Z71">
        <v>17.25</v>
      </c>
      <c r="AA71">
        <v>15.6</v>
      </c>
      <c r="AB71">
        <v>57.1</v>
      </c>
      <c r="AC71">
        <v>14</v>
      </c>
    </row>
    <row r="72" spans="1:29" x14ac:dyDescent="0.25">
      <c r="A72" s="5" t="s">
        <v>58</v>
      </c>
      <c r="B72" s="5" t="s">
        <v>212</v>
      </c>
      <c r="C72" s="1">
        <v>9</v>
      </c>
      <c r="D72" s="1">
        <v>49</v>
      </c>
      <c r="E72" s="1">
        <v>3</v>
      </c>
      <c r="F72">
        <v>10</v>
      </c>
      <c r="G72">
        <v>2</v>
      </c>
      <c r="H72" s="1">
        <v>13</v>
      </c>
      <c r="I72" s="1">
        <v>55.4</v>
      </c>
      <c r="J72" s="1">
        <v>29.5</v>
      </c>
      <c r="K72" s="1">
        <v>6.33</v>
      </c>
      <c r="L72" s="34">
        <f t="shared" si="6"/>
        <v>186.73500000000001</v>
      </c>
      <c r="M72" s="55">
        <v>45922.550833333335</v>
      </c>
      <c r="N72" s="1">
        <v>20</v>
      </c>
      <c r="O72" s="1">
        <v>13.7</v>
      </c>
      <c r="P72" s="1">
        <v>56.6</v>
      </c>
      <c r="Q72" s="56">
        <f t="shared" si="7"/>
        <v>4575.3072535946658</v>
      </c>
      <c r="R72" s="34">
        <f t="shared" si="8"/>
        <v>91.506145071893314</v>
      </c>
      <c r="V72" s="55">
        <v>45922.544004629628</v>
      </c>
      <c r="W72">
        <v>14</v>
      </c>
      <c r="X72">
        <v>1</v>
      </c>
      <c r="Y72">
        <v>70</v>
      </c>
      <c r="Z72">
        <v>13.29</v>
      </c>
      <c r="AA72">
        <v>15.3</v>
      </c>
      <c r="AB72">
        <v>57.3</v>
      </c>
      <c r="AC72">
        <v>9</v>
      </c>
    </row>
    <row r="73" spans="1:29" x14ac:dyDescent="0.25">
      <c r="A73" s="5" t="s">
        <v>58</v>
      </c>
      <c r="B73" s="5" t="s">
        <v>212</v>
      </c>
      <c r="C73" s="1">
        <v>9</v>
      </c>
      <c r="D73" s="1">
        <v>150</v>
      </c>
      <c r="E73" s="1">
        <v>8</v>
      </c>
      <c r="F73">
        <v>14</v>
      </c>
      <c r="G73">
        <v>6</v>
      </c>
      <c r="H73" s="1">
        <v>12.7</v>
      </c>
      <c r="I73" s="1">
        <v>55.6</v>
      </c>
      <c r="J73" s="1">
        <v>29.5</v>
      </c>
      <c r="K73" s="1">
        <v>6.33</v>
      </c>
      <c r="L73" s="34">
        <f t="shared" si="6"/>
        <v>186.73500000000001</v>
      </c>
      <c r="M73" s="55">
        <v>45922.613912037035</v>
      </c>
      <c r="N73" s="1">
        <v>17.98</v>
      </c>
      <c r="O73" s="1">
        <v>15.3</v>
      </c>
      <c r="P73" s="1">
        <v>58</v>
      </c>
      <c r="Q73" s="56">
        <f t="shared" si="7"/>
        <v>4036.942565667925</v>
      </c>
      <c r="R73" s="34">
        <f t="shared" si="8"/>
        <v>80.738851313358495</v>
      </c>
      <c r="V73" s="55">
        <v>45922.544722222221</v>
      </c>
      <c r="W73">
        <v>15</v>
      </c>
      <c r="X73">
        <v>1</v>
      </c>
      <c r="Y73">
        <v>71</v>
      </c>
      <c r="Z73">
        <v>11.77</v>
      </c>
      <c r="AA73">
        <v>16.2</v>
      </c>
      <c r="AB73">
        <v>56</v>
      </c>
      <c r="AC73">
        <v>10</v>
      </c>
    </row>
    <row r="74" spans="1:29" x14ac:dyDescent="0.25">
      <c r="A74" s="5" t="s">
        <v>58</v>
      </c>
      <c r="B74" s="5" t="s">
        <v>212</v>
      </c>
      <c r="C74" s="1">
        <v>9</v>
      </c>
      <c r="D74" s="1">
        <v>80</v>
      </c>
      <c r="E74" s="1">
        <v>4</v>
      </c>
      <c r="F74">
        <v>16</v>
      </c>
      <c r="G74">
        <v>1</v>
      </c>
      <c r="H74" s="1">
        <v>13.9</v>
      </c>
      <c r="I74" s="1">
        <v>53.6</v>
      </c>
      <c r="J74" s="1">
        <v>29.5</v>
      </c>
      <c r="K74" s="1">
        <v>6.33</v>
      </c>
      <c r="L74" s="34">
        <f t="shared" si="6"/>
        <v>186.73500000000001</v>
      </c>
      <c r="M74" s="55">
        <v>45922.545486111114</v>
      </c>
      <c r="N74" s="1">
        <v>11.72</v>
      </c>
      <c r="O74" s="1">
        <v>17.7</v>
      </c>
      <c r="P74" s="1">
        <v>55.8</v>
      </c>
      <c r="Q74" s="56">
        <f t="shared" si="7"/>
        <v>2556.8598280986421</v>
      </c>
      <c r="R74" s="34">
        <f t="shared" si="8"/>
        <v>51.137196561972843</v>
      </c>
      <c r="V74" s="55">
        <v>45922.547430555554</v>
      </c>
      <c r="W74">
        <v>15</v>
      </c>
      <c r="X74">
        <v>2</v>
      </c>
      <c r="Y74">
        <v>72</v>
      </c>
      <c r="Z74">
        <v>15.88</v>
      </c>
      <c r="AA74">
        <v>15.6</v>
      </c>
      <c r="AB74">
        <v>56.9</v>
      </c>
      <c r="AC74">
        <v>13</v>
      </c>
    </row>
    <row r="75" spans="1:29" x14ac:dyDescent="0.25">
      <c r="A75" s="5" t="s">
        <v>58</v>
      </c>
      <c r="B75" s="5" t="s">
        <v>213</v>
      </c>
      <c r="C75" s="1">
        <v>10</v>
      </c>
      <c r="D75" s="1">
        <v>4</v>
      </c>
      <c r="E75" s="1">
        <v>1</v>
      </c>
      <c r="F75">
        <v>1</v>
      </c>
      <c r="G75">
        <v>4</v>
      </c>
      <c r="H75" s="1">
        <v>12.8</v>
      </c>
      <c r="I75" s="1">
        <v>53.4</v>
      </c>
      <c r="J75" s="1">
        <v>29.5</v>
      </c>
      <c r="K75" s="1">
        <v>6.33</v>
      </c>
      <c r="L75" s="34">
        <f t="shared" si="6"/>
        <v>186.73500000000001</v>
      </c>
      <c r="M75" s="55">
        <v>45922.581886574073</v>
      </c>
      <c r="N75" s="1">
        <v>22.5</v>
      </c>
      <c r="O75" s="1">
        <v>11.7</v>
      </c>
      <c r="P75" s="1">
        <v>55.2</v>
      </c>
      <c r="Q75" s="56">
        <f t="shared" si="7"/>
        <v>5266.5073499879509</v>
      </c>
      <c r="R75" s="34">
        <f t="shared" si="8"/>
        <v>105.33014699975902</v>
      </c>
      <c r="V75" s="55">
        <v>45922.567708333336</v>
      </c>
      <c r="W75">
        <v>15</v>
      </c>
      <c r="X75">
        <v>3</v>
      </c>
      <c r="Y75">
        <v>73</v>
      </c>
      <c r="Z75">
        <v>19.47</v>
      </c>
      <c r="AA75">
        <v>15.6</v>
      </c>
      <c r="AB75">
        <v>57.5</v>
      </c>
      <c r="AC75">
        <v>42</v>
      </c>
    </row>
    <row r="76" spans="1:29" x14ac:dyDescent="0.25">
      <c r="A76" s="5" t="s">
        <v>58</v>
      </c>
      <c r="B76" s="5" t="s">
        <v>213</v>
      </c>
      <c r="C76" s="1">
        <v>10</v>
      </c>
      <c r="D76" s="1">
        <v>86</v>
      </c>
      <c r="E76" s="1">
        <v>5</v>
      </c>
      <c r="F76">
        <v>2</v>
      </c>
      <c r="G76">
        <v>10</v>
      </c>
      <c r="H76" s="1">
        <v>11.8</v>
      </c>
      <c r="I76" s="1">
        <v>55.4</v>
      </c>
      <c r="J76" s="1">
        <v>29.5</v>
      </c>
      <c r="K76" s="1">
        <v>6.33</v>
      </c>
      <c r="L76" s="34">
        <f t="shared" si="6"/>
        <v>186.73500000000001</v>
      </c>
      <c r="M76" s="55">
        <v>45922.651747685188</v>
      </c>
      <c r="N76" s="1">
        <v>22.83</v>
      </c>
      <c r="O76" s="1">
        <v>12.7</v>
      </c>
      <c r="P76" s="1">
        <v>56.3</v>
      </c>
      <c r="Q76" s="56">
        <f t="shared" si="7"/>
        <v>5283.2313438830424</v>
      </c>
      <c r="R76" s="34">
        <f t="shared" si="8"/>
        <v>105.66462687766085</v>
      </c>
      <c r="V76" s="55">
        <v>45922.569710648146</v>
      </c>
      <c r="W76">
        <v>15</v>
      </c>
      <c r="X76">
        <v>4</v>
      </c>
      <c r="Y76">
        <v>74</v>
      </c>
      <c r="Z76">
        <v>21.38</v>
      </c>
      <c r="AA76">
        <v>15.3</v>
      </c>
      <c r="AB76">
        <v>57.3</v>
      </c>
      <c r="AC76">
        <v>45</v>
      </c>
    </row>
    <row r="77" spans="1:29" x14ac:dyDescent="0.25">
      <c r="A77" s="5" t="s">
        <v>58</v>
      </c>
      <c r="B77" s="5" t="s">
        <v>213</v>
      </c>
      <c r="C77" s="1">
        <v>10</v>
      </c>
      <c r="D77" s="1">
        <v>28</v>
      </c>
      <c r="E77" s="1">
        <v>2</v>
      </c>
      <c r="F77">
        <v>6</v>
      </c>
      <c r="G77">
        <v>3</v>
      </c>
      <c r="H77" s="1">
        <v>12.6</v>
      </c>
      <c r="I77" s="1">
        <v>54.2</v>
      </c>
      <c r="J77" s="1">
        <v>29.5</v>
      </c>
      <c r="K77" s="1">
        <v>6.33</v>
      </c>
      <c r="L77" s="34">
        <f t="shared" si="6"/>
        <v>186.73500000000001</v>
      </c>
      <c r="M77" s="55">
        <v>45922.561689814815</v>
      </c>
      <c r="N77" s="1">
        <v>21.96</v>
      </c>
      <c r="O77" s="1">
        <v>13.5</v>
      </c>
      <c r="P77" s="1">
        <v>55.6</v>
      </c>
      <c r="Q77" s="56">
        <f t="shared" si="7"/>
        <v>5035.329745361073</v>
      </c>
      <c r="R77" s="34">
        <f t="shared" si="8"/>
        <v>100.70659490722146</v>
      </c>
      <c r="V77" s="55">
        <v>45922.593576388892</v>
      </c>
      <c r="W77">
        <v>15</v>
      </c>
      <c r="X77">
        <v>5</v>
      </c>
      <c r="Y77">
        <v>75</v>
      </c>
      <c r="Z77">
        <v>22.42</v>
      </c>
      <c r="AA77">
        <v>17.100000000000001</v>
      </c>
      <c r="AB77">
        <v>58</v>
      </c>
      <c r="AC77">
        <v>74</v>
      </c>
    </row>
    <row r="78" spans="1:29" x14ac:dyDescent="0.25">
      <c r="A78" s="5" t="s">
        <v>58</v>
      </c>
      <c r="B78" s="5" t="s">
        <v>213</v>
      </c>
      <c r="C78" s="1">
        <v>10</v>
      </c>
      <c r="D78" s="1">
        <v>118</v>
      </c>
      <c r="E78" s="1">
        <v>6</v>
      </c>
      <c r="F78">
        <v>8</v>
      </c>
      <c r="G78">
        <v>8</v>
      </c>
      <c r="H78" s="1">
        <v>12.8</v>
      </c>
      <c r="I78" s="1">
        <v>55.2</v>
      </c>
      <c r="J78" s="1">
        <v>29.5</v>
      </c>
      <c r="K78" s="1">
        <v>6.33</v>
      </c>
      <c r="L78" s="34">
        <f t="shared" si="6"/>
        <v>186.73500000000001</v>
      </c>
      <c r="M78" s="55">
        <v>45922.633587962962</v>
      </c>
      <c r="N78" s="1">
        <v>21.07</v>
      </c>
      <c r="O78" s="1">
        <v>15.3</v>
      </c>
      <c r="P78" s="1">
        <v>57.3</v>
      </c>
      <c r="Q78" s="56">
        <f t="shared" si="7"/>
        <v>4730.7219053739254</v>
      </c>
      <c r="R78" s="34">
        <f t="shared" si="8"/>
        <v>94.614438107478506</v>
      </c>
      <c r="V78" s="55">
        <v>45922.594143518516</v>
      </c>
      <c r="W78">
        <v>16</v>
      </c>
      <c r="X78">
        <v>5</v>
      </c>
      <c r="Y78">
        <v>76</v>
      </c>
      <c r="Z78">
        <v>19.28</v>
      </c>
      <c r="AA78">
        <v>14.2</v>
      </c>
      <c r="AB78">
        <v>58.1</v>
      </c>
      <c r="AC78">
        <v>75</v>
      </c>
    </row>
    <row r="79" spans="1:29" x14ac:dyDescent="0.25">
      <c r="A79" s="5" t="s">
        <v>58</v>
      </c>
      <c r="B79" s="5" t="s">
        <v>213</v>
      </c>
      <c r="C79" s="1">
        <v>10</v>
      </c>
      <c r="D79" s="1">
        <v>130</v>
      </c>
      <c r="E79" s="1">
        <v>7</v>
      </c>
      <c r="F79">
        <v>10</v>
      </c>
      <c r="G79">
        <v>6</v>
      </c>
      <c r="H79" s="1">
        <v>13.1</v>
      </c>
      <c r="I79" s="1">
        <v>53.9</v>
      </c>
      <c r="J79" s="1">
        <v>29.5</v>
      </c>
      <c r="K79" s="1">
        <v>6.33</v>
      </c>
      <c r="L79" s="34">
        <f t="shared" si="6"/>
        <v>186.73500000000001</v>
      </c>
      <c r="M79" s="55">
        <v>45922.610636574071</v>
      </c>
      <c r="N79" s="1">
        <v>23.19</v>
      </c>
      <c r="O79" s="1">
        <v>14.5</v>
      </c>
      <c r="P79" s="1">
        <v>55.8</v>
      </c>
      <c r="Q79" s="56">
        <f t="shared" si="7"/>
        <v>5255.8908346051885</v>
      </c>
      <c r="R79" s="34">
        <f t="shared" si="8"/>
        <v>105.11781669210377</v>
      </c>
      <c r="V79" s="55">
        <v>45922.569097222222</v>
      </c>
      <c r="W79">
        <v>16</v>
      </c>
      <c r="X79">
        <v>4</v>
      </c>
      <c r="Y79">
        <v>77</v>
      </c>
      <c r="Z79">
        <v>19.940000000000001</v>
      </c>
      <c r="AA79">
        <v>14.6</v>
      </c>
      <c r="AB79">
        <v>58</v>
      </c>
      <c r="AC79">
        <v>44</v>
      </c>
    </row>
    <row r="80" spans="1:29" x14ac:dyDescent="0.25">
      <c r="A80" s="5" t="s">
        <v>58</v>
      </c>
      <c r="B80" s="5" t="s">
        <v>213</v>
      </c>
      <c r="C80" s="1">
        <v>10</v>
      </c>
      <c r="D80" s="1">
        <v>59</v>
      </c>
      <c r="E80" s="1">
        <v>3</v>
      </c>
      <c r="F80">
        <v>12</v>
      </c>
      <c r="G80">
        <v>2</v>
      </c>
      <c r="H80" s="1">
        <v>14</v>
      </c>
      <c r="I80" s="1">
        <v>52.7</v>
      </c>
      <c r="J80" s="1">
        <v>29.5</v>
      </c>
      <c r="K80" s="1">
        <v>6.33</v>
      </c>
      <c r="L80" s="34">
        <f t="shared" si="6"/>
        <v>186.73500000000001</v>
      </c>
      <c r="M80" s="55">
        <v>45922.549490740741</v>
      </c>
      <c r="N80" s="1">
        <v>19.79</v>
      </c>
      <c r="O80" s="1">
        <v>15</v>
      </c>
      <c r="P80" s="1">
        <v>56.3</v>
      </c>
      <c r="Q80" s="56">
        <f t="shared" si="7"/>
        <v>4459.0690015262262</v>
      </c>
      <c r="R80" s="34">
        <f t="shared" si="8"/>
        <v>89.181380030524522</v>
      </c>
      <c r="V80" s="55">
        <v>45922.568310185183</v>
      </c>
      <c r="W80">
        <v>16</v>
      </c>
      <c r="X80">
        <v>3</v>
      </c>
      <c r="Y80">
        <v>78</v>
      </c>
      <c r="Z80">
        <v>17.73</v>
      </c>
      <c r="AA80">
        <v>16</v>
      </c>
      <c r="AB80">
        <v>56.2</v>
      </c>
      <c r="AC80">
        <v>43</v>
      </c>
    </row>
    <row r="81" spans="1:29" x14ac:dyDescent="0.25">
      <c r="A81" s="5" t="s">
        <v>58</v>
      </c>
      <c r="B81" s="5" t="s">
        <v>213</v>
      </c>
      <c r="C81" s="1">
        <v>10</v>
      </c>
      <c r="D81" s="1">
        <v>147</v>
      </c>
      <c r="E81" s="1">
        <v>8</v>
      </c>
      <c r="F81">
        <v>14</v>
      </c>
      <c r="G81">
        <v>9</v>
      </c>
      <c r="H81" s="1">
        <v>12.8</v>
      </c>
      <c r="I81" s="1">
        <v>54.8</v>
      </c>
      <c r="J81" s="1">
        <v>29.5</v>
      </c>
      <c r="K81" s="1">
        <v>6.33</v>
      </c>
      <c r="L81" s="34">
        <f t="shared" si="6"/>
        <v>186.73500000000001</v>
      </c>
      <c r="M81" s="55">
        <v>45922.641898148147</v>
      </c>
      <c r="N81" s="1">
        <v>21.33</v>
      </c>
      <c r="O81" s="1">
        <v>13.7</v>
      </c>
      <c r="P81" s="1">
        <v>57</v>
      </c>
      <c r="Q81" s="56">
        <f t="shared" si="7"/>
        <v>4879.5651859587106</v>
      </c>
      <c r="R81" s="34">
        <f t="shared" si="8"/>
        <v>97.591303719174206</v>
      </c>
      <c r="V81" s="55">
        <v>45922.546469907407</v>
      </c>
      <c r="W81">
        <v>16</v>
      </c>
      <c r="X81">
        <v>2</v>
      </c>
      <c r="Y81">
        <v>79</v>
      </c>
      <c r="Z81">
        <v>17.53</v>
      </c>
      <c r="AA81">
        <v>17</v>
      </c>
      <c r="AB81">
        <v>57.6</v>
      </c>
      <c r="AC81">
        <v>12</v>
      </c>
    </row>
    <row r="82" spans="1:29" x14ac:dyDescent="0.25">
      <c r="A82" s="5" t="s">
        <v>58</v>
      </c>
      <c r="B82" s="5" t="s">
        <v>213</v>
      </c>
      <c r="C82" s="1">
        <v>10</v>
      </c>
      <c r="D82" s="1">
        <v>71</v>
      </c>
      <c r="E82" s="1">
        <v>4</v>
      </c>
      <c r="F82">
        <v>15</v>
      </c>
      <c r="G82">
        <v>1</v>
      </c>
      <c r="H82" s="1">
        <v>13.1</v>
      </c>
      <c r="I82" s="1">
        <v>53.7</v>
      </c>
      <c r="J82" s="1">
        <v>29.5</v>
      </c>
      <c r="K82" s="1">
        <v>6.33</v>
      </c>
      <c r="L82" s="34">
        <f t="shared" si="6"/>
        <v>186.73500000000001</v>
      </c>
      <c r="M82" s="55">
        <v>45922.544722222221</v>
      </c>
      <c r="N82" s="1">
        <v>11.77</v>
      </c>
      <c r="O82" s="1">
        <v>16.2</v>
      </c>
      <c r="P82" s="1">
        <v>56</v>
      </c>
      <c r="Q82" s="56">
        <f t="shared" si="7"/>
        <v>2614.5680777572493</v>
      </c>
      <c r="R82" s="34">
        <f t="shared" si="8"/>
        <v>52.291361555144988</v>
      </c>
      <c r="V82" s="55">
        <v>45922.545486111114</v>
      </c>
      <c r="W82">
        <v>16</v>
      </c>
      <c r="X82">
        <v>1</v>
      </c>
      <c r="Y82">
        <v>80</v>
      </c>
      <c r="Z82">
        <v>11.72</v>
      </c>
      <c r="AA82">
        <v>17.7</v>
      </c>
      <c r="AB82">
        <v>55.8</v>
      </c>
      <c r="AC82">
        <v>11</v>
      </c>
    </row>
    <row r="83" spans="1:29" x14ac:dyDescent="0.25">
      <c r="A83" s="5" t="s">
        <v>54</v>
      </c>
      <c r="B83" s="5" t="s">
        <v>56</v>
      </c>
      <c r="C83" s="1">
        <v>11</v>
      </c>
      <c r="D83" s="1">
        <v>2</v>
      </c>
      <c r="E83" s="1">
        <v>1</v>
      </c>
      <c r="F83">
        <v>1</v>
      </c>
      <c r="G83">
        <v>2</v>
      </c>
      <c r="H83" s="1">
        <v>12.4</v>
      </c>
      <c r="I83" s="1">
        <v>55.5</v>
      </c>
      <c r="J83" s="1">
        <v>29.5</v>
      </c>
      <c r="K83" s="1">
        <v>6.33</v>
      </c>
      <c r="L83" s="34">
        <f t="shared" si="6"/>
        <v>186.73500000000001</v>
      </c>
      <c r="M83" s="55">
        <v>45922.557141203702</v>
      </c>
      <c r="N83" s="1">
        <v>19.010000000000002</v>
      </c>
      <c r="O83" s="1">
        <v>14.4</v>
      </c>
      <c r="P83" s="1">
        <v>57.5</v>
      </c>
      <c r="Q83" s="56">
        <f t="shared" si="7"/>
        <v>4313.5551449915656</v>
      </c>
      <c r="R83" s="34">
        <f t="shared" si="8"/>
        <v>86.271102899831305</v>
      </c>
      <c r="V83" s="55">
        <v>45922.60361111111</v>
      </c>
      <c r="W83">
        <v>1</v>
      </c>
      <c r="X83">
        <v>1</v>
      </c>
      <c r="Y83">
        <v>81</v>
      </c>
      <c r="Z83">
        <v>21.66</v>
      </c>
      <c r="AA83">
        <v>18.399999999999999</v>
      </c>
      <c r="AB83">
        <v>58.7</v>
      </c>
      <c r="AC83">
        <v>1</v>
      </c>
    </row>
    <row r="84" spans="1:29" x14ac:dyDescent="0.25">
      <c r="A84" s="5" t="s">
        <v>54</v>
      </c>
      <c r="B84" s="5" t="s">
        <v>56</v>
      </c>
      <c r="C84" s="1">
        <v>11</v>
      </c>
      <c r="D84" s="98">
        <v>11</v>
      </c>
      <c r="E84" s="1">
        <v>1</v>
      </c>
      <c r="F84">
        <v>3</v>
      </c>
      <c r="G84">
        <v>1</v>
      </c>
      <c r="H84" s="1">
        <v>13.7</v>
      </c>
      <c r="I84" s="1">
        <v>56</v>
      </c>
      <c r="J84" s="1">
        <v>29.5</v>
      </c>
      <c r="K84" s="1">
        <v>6.33</v>
      </c>
      <c r="L84" s="34">
        <f t="shared" si="6"/>
        <v>186.73500000000001</v>
      </c>
      <c r="M84" s="55">
        <v>45922.531412037039</v>
      </c>
      <c r="N84" s="1">
        <v>18.52</v>
      </c>
      <c r="O84" s="1">
        <v>18.8</v>
      </c>
      <c r="P84" s="1">
        <v>58.7</v>
      </c>
      <c r="Q84" s="56">
        <f t="shared" si="7"/>
        <v>3986.3597076070369</v>
      </c>
      <c r="R84" s="34">
        <f t="shared" si="8"/>
        <v>79.72719415214074</v>
      </c>
      <c r="V84" s="55">
        <v>45922.625474537039</v>
      </c>
      <c r="W84">
        <v>1</v>
      </c>
      <c r="X84">
        <v>2</v>
      </c>
      <c r="Y84">
        <v>82</v>
      </c>
      <c r="Z84">
        <v>20.23</v>
      </c>
      <c r="AA84">
        <v>15</v>
      </c>
      <c r="AB84">
        <v>58.5</v>
      </c>
      <c r="AC84">
        <v>32</v>
      </c>
    </row>
    <row r="85" spans="1:29" x14ac:dyDescent="0.25">
      <c r="A85" s="5" t="s">
        <v>54</v>
      </c>
      <c r="B85" s="5" t="s">
        <v>56</v>
      </c>
      <c r="C85" s="1">
        <v>11</v>
      </c>
      <c r="D85" s="1">
        <v>99</v>
      </c>
      <c r="E85" s="1">
        <v>5</v>
      </c>
      <c r="F85">
        <v>4</v>
      </c>
      <c r="G85">
        <v>7</v>
      </c>
      <c r="H85" s="1">
        <v>12.3</v>
      </c>
      <c r="I85" s="1">
        <v>55.9</v>
      </c>
      <c r="J85" s="1">
        <v>29.5</v>
      </c>
      <c r="K85" s="1">
        <v>6.33</v>
      </c>
      <c r="L85" s="34">
        <f t="shared" si="6"/>
        <v>186.73500000000001</v>
      </c>
      <c r="M85" s="55">
        <v>45922.623564814814</v>
      </c>
      <c r="N85" s="1">
        <v>19.079999999999998</v>
      </c>
      <c r="O85" s="1">
        <v>12.5</v>
      </c>
      <c r="P85" s="1">
        <v>57.6</v>
      </c>
      <c r="Q85" s="56">
        <f t="shared" si="7"/>
        <v>4425.5361876455927</v>
      </c>
      <c r="R85" s="34">
        <f t="shared" si="8"/>
        <v>88.510723752911858</v>
      </c>
      <c r="V85" s="55">
        <v>45922.628530092596</v>
      </c>
      <c r="W85">
        <v>1</v>
      </c>
      <c r="X85">
        <v>3</v>
      </c>
      <c r="Y85">
        <v>83</v>
      </c>
      <c r="Z85">
        <v>15.84</v>
      </c>
      <c r="AA85">
        <v>13.1</v>
      </c>
      <c r="AB85">
        <v>57.6</v>
      </c>
      <c r="AC85">
        <v>33</v>
      </c>
    </row>
    <row r="86" spans="1:29" x14ac:dyDescent="0.25">
      <c r="A86" s="5" t="s">
        <v>54</v>
      </c>
      <c r="B86" s="5" t="s">
        <v>56</v>
      </c>
      <c r="C86" s="1">
        <v>11</v>
      </c>
      <c r="D86" s="1">
        <v>117</v>
      </c>
      <c r="E86" s="1">
        <v>6</v>
      </c>
      <c r="F86">
        <v>8</v>
      </c>
      <c r="G86">
        <v>9</v>
      </c>
      <c r="H86" s="1">
        <v>12.2</v>
      </c>
      <c r="I86" s="1">
        <v>55.9</v>
      </c>
      <c r="J86" s="1">
        <v>29.5</v>
      </c>
      <c r="K86" s="1">
        <v>6.33</v>
      </c>
      <c r="L86" s="34">
        <f t="shared" si="6"/>
        <v>186.73500000000001</v>
      </c>
      <c r="M86" s="55">
        <v>45922.645671296297</v>
      </c>
      <c r="N86" s="1">
        <v>17.98</v>
      </c>
      <c r="O86" s="1">
        <v>13.1</v>
      </c>
      <c r="P86" s="1">
        <v>57.6</v>
      </c>
      <c r="Q86" s="56">
        <f t="shared" si="7"/>
        <v>4141.7982167242353</v>
      </c>
      <c r="R86" s="34">
        <f t="shared" si="8"/>
        <v>82.8359643344847</v>
      </c>
      <c r="V86" s="55">
        <v>45922.650185185186</v>
      </c>
      <c r="W86">
        <v>1</v>
      </c>
      <c r="X86">
        <v>4</v>
      </c>
      <c r="Y86">
        <v>84</v>
      </c>
      <c r="Z86">
        <v>17.809999999999999</v>
      </c>
      <c r="AA86">
        <v>13.7</v>
      </c>
      <c r="AB86">
        <v>57.7</v>
      </c>
      <c r="AC86">
        <v>64</v>
      </c>
    </row>
    <row r="87" spans="1:29" x14ac:dyDescent="0.25">
      <c r="A87" s="5" t="s">
        <v>54</v>
      </c>
      <c r="B87" s="5" t="s">
        <v>56</v>
      </c>
      <c r="C87" s="1">
        <v>11</v>
      </c>
      <c r="D87" s="1">
        <v>126</v>
      </c>
      <c r="E87" s="1">
        <v>7</v>
      </c>
      <c r="F87">
        <v>10</v>
      </c>
      <c r="G87">
        <v>10</v>
      </c>
      <c r="H87" s="1">
        <v>12.4</v>
      </c>
      <c r="I87" s="1">
        <v>55</v>
      </c>
      <c r="J87" s="1">
        <v>29.5</v>
      </c>
      <c r="K87" s="1">
        <v>6.33</v>
      </c>
      <c r="L87" s="34">
        <f t="shared" si="6"/>
        <v>186.73500000000001</v>
      </c>
      <c r="M87" s="55">
        <v>45922.656921296293</v>
      </c>
      <c r="N87" s="1">
        <v>18.07</v>
      </c>
      <c r="O87" s="1">
        <v>13.9</v>
      </c>
      <c r="P87" s="1">
        <v>57.7</v>
      </c>
      <c r="Q87" s="56">
        <f t="shared" si="7"/>
        <v>4124.2100570326938</v>
      </c>
      <c r="R87" s="34">
        <f t="shared" si="8"/>
        <v>82.48420114065388</v>
      </c>
      <c r="V87" s="55">
        <v>45922.651122685187</v>
      </c>
      <c r="W87">
        <v>1</v>
      </c>
      <c r="X87">
        <v>5</v>
      </c>
      <c r="Y87">
        <v>85</v>
      </c>
      <c r="Z87">
        <v>19.43</v>
      </c>
      <c r="AA87">
        <v>14.1</v>
      </c>
      <c r="AB87">
        <v>58</v>
      </c>
      <c r="AC87">
        <v>65</v>
      </c>
    </row>
    <row r="88" spans="1:29" x14ac:dyDescent="0.25">
      <c r="A88" s="5" t="s">
        <v>54</v>
      </c>
      <c r="B88" s="5" t="s">
        <v>56</v>
      </c>
      <c r="C88" s="1">
        <v>11</v>
      </c>
      <c r="D88" s="1">
        <v>57</v>
      </c>
      <c r="E88" s="1">
        <v>3</v>
      </c>
      <c r="F88">
        <v>12</v>
      </c>
      <c r="G88">
        <v>4</v>
      </c>
      <c r="H88" s="1">
        <v>12.6</v>
      </c>
      <c r="I88" s="1">
        <v>55.9</v>
      </c>
      <c r="J88" s="1">
        <v>29.5</v>
      </c>
      <c r="K88" s="1">
        <v>6.33</v>
      </c>
      <c r="L88" s="34">
        <f t="shared" si="6"/>
        <v>186.73500000000001</v>
      </c>
      <c r="M88" s="55">
        <v>45922.572106481479</v>
      </c>
      <c r="N88" s="1">
        <v>18.73</v>
      </c>
      <c r="O88" s="1">
        <v>14.7</v>
      </c>
      <c r="P88" s="1">
        <v>57.7</v>
      </c>
      <c r="Q88" s="56">
        <f t="shared" si="7"/>
        <v>4235.1254719254557</v>
      </c>
      <c r="R88" s="34">
        <f t="shared" si="8"/>
        <v>84.702509438509111</v>
      </c>
      <c r="V88" s="55">
        <v>45922.651747685188</v>
      </c>
      <c r="W88">
        <v>2</v>
      </c>
      <c r="X88">
        <v>5</v>
      </c>
      <c r="Y88">
        <v>86</v>
      </c>
      <c r="Z88">
        <v>22.83</v>
      </c>
      <c r="AA88">
        <v>12.7</v>
      </c>
      <c r="AB88">
        <v>56.3</v>
      </c>
      <c r="AC88">
        <v>66</v>
      </c>
    </row>
    <row r="89" spans="1:29" x14ac:dyDescent="0.25">
      <c r="A89" s="5" t="s">
        <v>54</v>
      </c>
      <c r="B89" s="5" t="s">
        <v>56</v>
      </c>
      <c r="C89" s="1">
        <v>11</v>
      </c>
      <c r="D89" s="1">
        <v>63</v>
      </c>
      <c r="E89" s="1">
        <v>4</v>
      </c>
      <c r="F89">
        <v>13</v>
      </c>
      <c r="G89">
        <v>3</v>
      </c>
      <c r="H89" s="1">
        <v>12.3</v>
      </c>
      <c r="I89" s="1">
        <v>55.4</v>
      </c>
      <c r="J89" s="1">
        <v>29.5</v>
      </c>
      <c r="K89" s="1">
        <v>6.33</v>
      </c>
      <c r="L89" s="34">
        <f t="shared" si="6"/>
        <v>186.73500000000001</v>
      </c>
      <c r="M89" s="55">
        <v>45922.566412037035</v>
      </c>
      <c r="N89" s="1">
        <v>19.62</v>
      </c>
      <c r="O89" s="1">
        <v>14.2</v>
      </c>
      <c r="P89" s="1">
        <v>57.2</v>
      </c>
      <c r="Q89" s="56">
        <f t="shared" si="7"/>
        <v>4462.3719174230864</v>
      </c>
      <c r="R89" s="34">
        <f t="shared" si="8"/>
        <v>89.247438348461728</v>
      </c>
      <c r="V89" s="55">
        <v>45922.649594907409</v>
      </c>
      <c r="W89">
        <v>2</v>
      </c>
      <c r="X89">
        <v>4</v>
      </c>
      <c r="Y89">
        <v>87</v>
      </c>
      <c r="Z89">
        <v>19.82</v>
      </c>
      <c r="AA89">
        <v>13.4</v>
      </c>
      <c r="AB89">
        <v>58.2</v>
      </c>
      <c r="AC89">
        <v>63</v>
      </c>
    </row>
    <row r="90" spans="1:29" x14ac:dyDescent="0.25">
      <c r="A90" s="5" t="s">
        <v>54</v>
      </c>
      <c r="B90" s="5" t="s">
        <v>56</v>
      </c>
      <c r="C90" s="1">
        <v>11</v>
      </c>
      <c r="D90" s="1">
        <v>151</v>
      </c>
      <c r="E90" s="1">
        <v>8</v>
      </c>
      <c r="F90">
        <v>15</v>
      </c>
      <c r="G90">
        <v>6</v>
      </c>
      <c r="H90" s="1">
        <v>12.5</v>
      </c>
      <c r="I90" s="1">
        <v>55.7</v>
      </c>
      <c r="J90" s="1">
        <v>29.5</v>
      </c>
      <c r="K90" s="1">
        <v>6.33</v>
      </c>
      <c r="L90" s="34">
        <f t="shared" si="6"/>
        <v>186.73500000000001</v>
      </c>
      <c r="M90" s="55">
        <v>45922.614618055559</v>
      </c>
      <c r="N90" s="1">
        <v>18.170000000000002</v>
      </c>
      <c r="O90" s="1">
        <v>14</v>
      </c>
      <c r="P90" s="1">
        <v>57.6</v>
      </c>
      <c r="Q90" s="56">
        <f t="shared" si="7"/>
        <v>4142.2170455458272</v>
      </c>
      <c r="R90" s="34">
        <f t="shared" si="8"/>
        <v>82.844340910916543</v>
      </c>
      <c r="V90" s="55">
        <v>45922.629270833335</v>
      </c>
      <c r="W90">
        <v>2</v>
      </c>
      <c r="X90">
        <v>3</v>
      </c>
      <c r="Y90">
        <v>88</v>
      </c>
      <c r="Z90">
        <v>17.420000000000002</v>
      </c>
      <c r="AA90">
        <v>14</v>
      </c>
      <c r="AB90">
        <v>57.3</v>
      </c>
      <c r="AC90">
        <v>34</v>
      </c>
    </row>
    <row r="91" spans="1:29" x14ac:dyDescent="0.25">
      <c r="A91" s="5" t="s">
        <v>54</v>
      </c>
      <c r="B91" s="5" t="s">
        <v>62</v>
      </c>
      <c r="C91" s="1">
        <v>12</v>
      </c>
      <c r="D91" s="1">
        <v>13</v>
      </c>
      <c r="E91" s="1">
        <v>1</v>
      </c>
      <c r="F91">
        <v>3</v>
      </c>
      <c r="G91">
        <v>3</v>
      </c>
      <c r="H91" s="1">
        <v>12.2</v>
      </c>
      <c r="I91" s="1">
        <v>55.3</v>
      </c>
      <c r="J91" s="1">
        <v>29.5</v>
      </c>
      <c r="K91" s="1">
        <v>6.33</v>
      </c>
      <c r="L91" s="34">
        <f t="shared" si="6"/>
        <v>186.73500000000001</v>
      </c>
      <c r="M91" s="55">
        <v>45922.559594907405</v>
      </c>
      <c r="N91" s="1">
        <v>17.61</v>
      </c>
      <c r="O91" s="1">
        <v>14.3</v>
      </c>
      <c r="P91" s="1">
        <v>57.6</v>
      </c>
      <c r="Q91" s="56">
        <f t="shared" si="7"/>
        <v>4000.5495220499633</v>
      </c>
      <c r="R91" s="34">
        <f t="shared" si="8"/>
        <v>80.010990440999265</v>
      </c>
      <c r="V91" s="55">
        <v>45922.624780092592</v>
      </c>
      <c r="W91">
        <v>2</v>
      </c>
      <c r="X91">
        <v>2</v>
      </c>
      <c r="Y91">
        <v>89</v>
      </c>
      <c r="Z91">
        <v>18.71</v>
      </c>
      <c r="AA91">
        <v>13.6</v>
      </c>
      <c r="AB91">
        <v>58.1</v>
      </c>
      <c r="AC91">
        <v>31</v>
      </c>
    </row>
    <row r="92" spans="1:29" x14ac:dyDescent="0.25">
      <c r="A92" s="5" t="s">
        <v>54</v>
      </c>
      <c r="B92" s="5" t="s">
        <v>62</v>
      </c>
      <c r="C92" s="1">
        <v>12</v>
      </c>
      <c r="D92" s="1">
        <v>96</v>
      </c>
      <c r="E92" s="1">
        <v>5</v>
      </c>
      <c r="F92">
        <v>4</v>
      </c>
      <c r="G92">
        <v>10</v>
      </c>
      <c r="H92" s="1">
        <v>12.2</v>
      </c>
      <c r="I92" s="1">
        <v>56.1</v>
      </c>
      <c r="J92" s="1">
        <v>29.5</v>
      </c>
      <c r="K92" s="1">
        <v>6.33</v>
      </c>
      <c r="L92" s="34">
        <f t="shared" si="6"/>
        <v>186.73500000000001</v>
      </c>
      <c r="M92" s="55">
        <v>45922.653090277781</v>
      </c>
      <c r="N92" s="1">
        <v>20.5</v>
      </c>
      <c r="O92" s="1">
        <v>14.3</v>
      </c>
      <c r="P92" s="1">
        <v>57.9</v>
      </c>
      <c r="Q92" s="56">
        <f t="shared" si="7"/>
        <v>4657.0849064181866</v>
      </c>
      <c r="R92" s="34">
        <f t="shared" si="8"/>
        <v>93.141698128363728</v>
      </c>
      <c r="V92" s="55">
        <v>45922.604317129626</v>
      </c>
      <c r="W92">
        <v>2</v>
      </c>
      <c r="X92">
        <v>1</v>
      </c>
      <c r="Y92">
        <v>90</v>
      </c>
      <c r="Z92">
        <v>18.760000000000002</v>
      </c>
      <c r="AA92">
        <v>13.6</v>
      </c>
      <c r="AB92">
        <v>57.5</v>
      </c>
      <c r="AC92">
        <v>2</v>
      </c>
    </row>
    <row r="93" spans="1:29" x14ac:dyDescent="0.25">
      <c r="A93" s="5" t="s">
        <v>54</v>
      </c>
      <c r="B93" s="5" t="s">
        <v>62</v>
      </c>
      <c r="C93" s="1">
        <v>12</v>
      </c>
      <c r="D93" s="1">
        <v>109</v>
      </c>
      <c r="E93" s="1">
        <v>6</v>
      </c>
      <c r="F93">
        <v>6</v>
      </c>
      <c r="G93">
        <v>7</v>
      </c>
      <c r="H93" s="1">
        <v>12.3</v>
      </c>
      <c r="I93" s="1">
        <v>56.2</v>
      </c>
      <c r="J93" s="1">
        <v>29.5</v>
      </c>
      <c r="K93" s="1">
        <v>6.33</v>
      </c>
      <c r="L93" s="34">
        <f t="shared" si="6"/>
        <v>186.73500000000001</v>
      </c>
      <c r="M93" s="55">
        <v>45922.622407407405</v>
      </c>
      <c r="N93" s="1">
        <v>17.03</v>
      </c>
      <c r="O93" s="1">
        <v>13.1</v>
      </c>
      <c r="P93" s="1">
        <v>57.5</v>
      </c>
      <c r="Q93" s="56">
        <f t="shared" si="7"/>
        <v>3922.960157442365</v>
      </c>
      <c r="R93" s="34">
        <f t="shared" si="8"/>
        <v>78.459203148847294</v>
      </c>
      <c r="V93" s="55">
        <v>45922.605902777781</v>
      </c>
      <c r="W93">
        <v>3</v>
      </c>
      <c r="X93">
        <v>1</v>
      </c>
      <c r="Y93">
        <v>91</v>
      </c>
      <c r="Z93">
        <v>16.690000000000001</v>
      </c>
      <c r="AA93">
        <v>14.2</v>
      </c>
      <c r="AB93">
        <v>58.1</v>
      </c>
      <c r="AC93">
        <v>3</v>
      </c>
    </row>
    <row r="94" spans="1:29" x14ac:dyDescent="0.25">
      <c r="A94" s="5" t="s">
        <v>54</v>
      </c>
      <c r="B94" s="5" t="s">
        <v>62</v>
      </c>
      <c r="C94" s="1">
        <v>12</v>
      </c>
      <c r="D94" s="1">
        <v>32</v>
      </c>
      <c r="E94" s="1">
        <v>2</v>
      </c>
      <c r="F94">
        <v>7</v>
      </c>
      <c r="G94">
        <v>2</v>
      </c>
      <c r="H94" s="1">
        <v>12.9</v>
      </c>
      <c r="I94" s="1">
        <v>55.7</v>
      </c>
      <c r="J94" s="1">
        <v>29.5</v>
      </c>
      <c r="K94" s="1">
        <v>6.33</v>
      </c>
      <c r="L94" s="34">
        <f t="shared" si="6"/>
        <v>186.73500000000001</v>
      </c>
      <c r="M94" s="55">
        <v>45922.552870370368</v>
      </c>
      <c r="N94" s="1">
        <v>18.28</v>
      </c>
      <c r="O94" s="1">
        <v>13.9</v>
      </c>
      <c r="P94" s="1">
        <v>56.8</v>
      </c>
      <c r="Q94" s="56">
        <f t="shared" si="7"/>
        <v>4172.1394489517234</v>
      </c>
      <c r="R94" s="34">
        <f t="shared" si="8"/>
        <v>83.442788979034461</v>
      </c>
      <c r="V94" s="55">
        <v>45922.624155092592</v>
      </c>
      <c r="W94">
        <v>3</v>
      </c>
      <c r="X94">
        <v>2</v>
      </c>
      <c r="Y94">
        <v>92</v>
      </c>
      <c r="Z94">
        <v>20.84</v>
      </c>
      <c r="AA94">
        <v>15</v>
      </c>
      <c r="AB94">
        <v>58.3</v>
      </c>
      <c r="AC94">
        <v>30</v>
      </c>
    </row>
    <row r="95" spans="1:29" x14ac:dyDescent="0.25">
      <c r="A95" s="5" t="s">
        <v>54</v>
      </c>
      <c r="B95" s="5" t="s">
        <v>62</v>
      </c>
      <c r="C95" s="1">
        <v>12</v>
      </c>
      <c r="D95" s="1">
        <v>131</v>
      </c>
      <c r="E95" s="1">
        <v>7</v>
      </c>
      <c r="F95">
        <v>11</v>
      </c>
      <c r="G95">
        <v>6</v>
      </c>
      <c r="H95" s="1">
        <v>12.7</v>
      </c>
      <c r="I95" s="1">
        <v>56.5</v>
      </c>
      <c r="J95" s="1">
        <v>29.5</v>
      </c>
      <c r="K95" s="1">
        <v>6.33</v>
      </c>
      <c r="L95" s="34">
        <f t="shared" si="6"/>
        <v>186.73500000000001</v>
      </c>
      <c r="M95" s="55">
        <v>45922.611307870371</v>
      </c>
      <c r="N95" s="1">
        <v>17.7</v>
      </c>
      <c r="O95" s="1">
        <v>14.4</v>
      </c>
      <c r="P95" s="1">
        <v>58</v>
      </c>
      <c r="Q95" s="56">
        <f t="shared" si="7"/>
        <v>4016.3033175355445</v>
      </c>
      <c r="R95" s="34">
        <f t="shared" si="8"/>
        <v>80.326066350710889</v>
      </c>
      <c r="V95" s="55">
        <v>45922.629942129628</v>
      </c>
      <c r="W95">
        <v>3</v>
      </c>
      <c r="X95">
        <v>3</v>
      </c>
      <c r="Y95">
        <v>93</v>
      </c>
      <c r="Z95">
        <v>16.829999999999998</v>
      </c>
      <c r="AA95">
        <v>14.1</v>
      </c>
      <c r="AB95">
        <v>58.4</v>
      </c>
      <c r="AC95">
        <v>35</v>
      </c>
    </row>
    <row r="96" spans="1:29" x14ac:dyDescent="0.25">
      <c r="A96" s="5" t="s">
        <v>54</v>
      </c>
      <c r="B96" s="5" t="s">
        <v>62</v>
      </c>
      <c r="C96" s="1">
        <v>12</v>
      </c>
      <c r="D96" s="1">
        <v>60</v>
      </c>
      <c r="E96" s="1">
        <v>3</v>
      </c>
      <c r="F96">
        <v>12</v>
      </c>
      <c r="G96">
        <v>1</v>
      </c>
      <c r="H96" s="1">
        <v>13.2</v>
      </c>
      <c r="I96" s="1">
        <v>55.7</v>
      </c>
      <c r="J96" s="1">
        <v>29.5</v>
      </c>
      <c r="K96" s="1">
        <v>6.33</v>
      </c>
      <c r="L96" s="34">
        <f t="shared" si="6"/>
        <v>186.73500000000001</v>
      </c>
      <c r="M96" s="55">
        <v>45922.542615740742</v>
      </c>
      <c r="N96" s="1">
        <v>12.62</v>
      </c>
      <c r="O96" s="1">
        <v>16.5</v>
      </c>
      <c r="P96" s="1">
        <v>56.6</v>
      </c>
      <c r="Q96" s="56">
        <f t="shared" si="7"/>
        <v>2793.3496666398905</v>
      </c>
      <c r="R96" s="34">
        <f t="shared" si="8"/>
        <v>55.866993332797811</v>
      </c>
      <c r="V96" s="55">
        <v>45922.649004629631</v>
      </c>
      <c r="W96">
        <v>3</v>
      </c>
      <c r="X96">
        <v>4</v>
      </c>
      <c r="Y96">
        <v>94</v>
      </c>
      <c r="Z96">
        <v>17.57</v>
      </c>
      <c r="AA96">
        <v>14.8</v>
      </c>
      <c r="AB96">
        <v>57.2</v>
      </c>
      <c r="AC96">
        <v>62</v>
      </c>
    </row>
    <row r="97" spans="1:29" x14ac:dyDescent="0.25">
      <c r="A97" s="5" t="s">
        <v>54</v>
      </c>
      <c r="B97" s="5" t="s">
        <v>62</v>
      </c>
      <c r="C97" s="1">
        <v>12</v>
      </c>
      <c r="D97" s="1">
        <v>65</v>
      </c>
      <c r="E97" s="1">
        <v>4</v>
      </c>
      <c r="F97">
        <v>13</v>
      </c>
      <c r="G97">
        <v>5</v>
      </c>
      <c r="H97" s="1">
        <v>12.4</v>
      </c>
      <c r="I97" s="1">
        <v>56.2</v>
      </c>
      <c r="J97" s="1">
        <v>29.5</v>
      </c>
      <c r="K97" s="1">
        <v>6.33</v>
      </c>
      <c r="L97" s="34">
        <f t="shared" si="6"/>
        <v>186.73500000000001</v>
      </c>
      <c r="M97" s="55">
        <v>45922.592256944445</v>
      </c>
      <c r="N97" s="1">
        <v>18.75</v>
      </c>
      <c r="O97" s="1">
        <v>13.8</v>
      </c>
      <c r="P97" s="1">
        <v>57.2</v>
      </c>
      <c r="Q97" s="56">
        <f t="shared" si="7"/>
        <v>4284.3802715077518</v>
      </c>
      <c r="R97" s="34">
        <f t="shared" si="8"/>
        <v>85.687605430155031</v>
      </c>
      <c r="V97" s="55">
        <v>45922.652395833335</v>
      </c>
      <c r="W97">
        <v>3</v>
      </c>
      <c r="X97">
        <v>5</v>
      </c>
      <c r="Y97">
        <v>95</v>
      </c>
      <c r="Z97">
        <v>21.22</v>
      </c>
      <c r="AA97">
        <v>15.8</v>
      </c>
      <c r="AB97">
        <v>58.6</v>
      </c>
      <c r="AC97">
        <v>67</v>
      </c>
    </row>
    <row r="98" spans="1:29" x14ac:dyDescent="0.25">
      <c r="A98" s="5" t="s">
        <v>54</v>
      </c>
      <c r="B98" s="5" t="s">
        <v>62</v>
      </c>
      <c r="C98" s="1">
        <v>12</v>
      </c>
      <c r="D98" s="1">
        <v>148</v>
      </c>
      <c r="E98" s="1">
        <v>8</v>
      </c>
      <c r="F98">
        <v>14</v>
      </c>
      <c r="G98">
        <v>8</v>
      </c>
      <c r="H98" s="1">
        <v>12.3</v>
      </c>
      <c r="I98" s="1">
        <v>56</v>
      </c>
      <c r="J98" s="1">
        <v>29.5</v>
      </c>
      <c r="K98" s="1">
        <v>6.33</v>
      </c>
      <c r="L98" s="34">
        <f t="shared" si="6"/>
        <v>186.73500000000001</v>
      </c>
      <c r="M98" s="55">
        <v>45922.638425925928</v>
      </c>
      <c r="N98" s="1">
        <v>19.89</v>
      </c>
      <c r="O98" s="1">
        <v>14.2</v>
      </c>
      <c r="P98" s="1">
        <v>57.6</v>
      </c>
      <c r="Q98" s="56">
        <f t="shared" si="7"/>
        <v>4523.7807052775315</v>
      </c>
      <c r="R98" s="34">
        <f t="shared" si="8"/>
        <v>90.475614105550633</v>
      </c>
      <c r="V98" s="55">
        <v>45922.653090277781</v>
      </c>
      <c r="W98">
        <v>4</v>
      </c>
      <c r="X98">
        <v>5</v>
      </c>
      <c r="Y98">
        <v>96</v>
      </c>
      <c r="Z98">
        <v>20.5</v>
      </c>
      <c r="AA98">
        <v>14.3</v>
      </c>
      <c r="AB98">
        <v>57.9</v>
      </c>
      <c r="AC98">
        <v>68</v>
      </c>
    </row>
    <row r="99" spans="1:29" x14ac:dyDescent="0.25">
      <c r="A99" s="5" t="s">
        <v>54</v>
      </c>
      <c r="B99" s="5" t="s">
        <v>60</v>
      </c>
      <c r="C99" s="1">
        <v>13</v>
      </c>
      <c r="D99" s="1">
        <v>83</v>
      </c>
      <c r="E99" s="1">
        <v>5</v>
      </c>
      <c r="F99">
        <v>1</v>
      </c>
      <c r="G99">
        <v>8</v>
      </c>
      <c r="H99" s="1">
        <v>12.1</v>
      </c>
      <c r="I99" s="1">
        <v>56.7</v>
      </c>
      <c r="J99" s="1">
        <v>29.5</v>
      </c>
      <c r="K99" s="1">
        <v>6.33</v>
      </c>
      <c r="L99" s="34">
        <f t="shared" ref="L99:L130" si="9">J99*K99</f>
        <v>186.73500000000001</v>
      </c>
      <c r="M99" s="55">
        <v>45922.628530092596</v>
      </c>
      <c r="N99" s="1">
        <v>15.84</v>
      </c>
      <c r="O99" s="1">
        <v>13.1</v>
      </c>
      <c r="P99" s="1">
        <v>57.6</v>
      </c>
      <c r="Q99" s="56">
        <f t="shared" ref="Q99:Q130" si="10">((43560/L99)*(N99)*((100-O99)/88))</f>
        <v>3648.8366937103378</v>
      </c>
      <c r="R99" s="34">
        <f t="shared" ref="R99:R130" si="11">Q99/50</f>
        <v>72.976733874206758</v>
      </c>
      <c r="V99" s="55">
        <v>45922.648344907408</v>
      </c>
      <c r="W99">
        <v>4</v>
      </c>
      <c r="X99">
        <v>4</v>
      </c>
      <c r="Y99">
        <v>97</v>
      </c>
      <c r="Z99">
        <v>23.17</v>
      </c>
      <c r="AA99">
        <v>15.7</v>
      </c>
      <c r="AB99">
        <v>57.3</v>
      </c>
      <c r="AC99">
        <v>61</v>
      </c>
    </row>
    <row r="100" spans="1:29" x14ac:dyDescent="0.25">
      <c r="A100" s="5" t="s">
        <v>54</v>
      </c>
      <c r="B100" s="5" t="s">
        <v>60</v>
      </c>
      <c r="C100" s="1">
        <v>13</v>
      </c>
      <c r="D100" s="1">
        <v>8</v>
      </c>
      <c r="E100" s="1">
        <v>1</v>
      </c>
      <c r="F100">
        <v>2</v>
      </c>
      <c r="G100">
        <v>3</v>
      </c>
      <c r="H100" s="1">
        <v>12.2</v>
      </c>
      <c r="I100" s="1">
        <v>55</v>
      </c>
      <c r="J100" s="1">
        <v>29.5</v>
      </c>
      <c r="K100" s="1">
        <v>6.33</v>
      </c>
      <c r="L100" s="34">
        <f t="shared" si="9"/>
        <v>186.73500000000001</v>
      </c>
      <c r="M100" s="55">
        <v>45922.55872685185</v>
      </c>
      <c r="N100" s="1">
        <v>16.2</v>
      </c>
      <c r="O100" s="1">
        <v>13.6</v>
      </c>
      <c r="P100" s="1">
        <v>56.9</v>
      </c>
      <c r="Q100" s="56">
        <f t="shared" si="10"/>
        <v>3710.2931962406619</v>
      </c>
      <c r="R100" s="34">
        <f t="shared" si="11"/>
        <v>74.205863924813244</v>
      </c>
      <c r="V100" s="55">
        <v>45922.630682870367</v>
      </c>
      <c r="W100">
        <v>4</v>
      </c>
      <c r="X100">
        <v>3</v>
      </c>
      <c r="Y100">
        <v>98</v>
      </c>
      <c r="Z100">
        <v>19.91</v>
      </c>
      <c r="AA100">
        <v>16.399999999999999</v>
      </c>
      <c r="AB100">
        <v>58</v>
      </c>
      <c r="AC100">
        <v>36</v>
      </c>
    </row>
    <row r="101" spans="1:29" x14ac:dyDescent="0.25">
      <c r="A101" s="5" t="s">
        <v>54</v>
      </c>
      <c r="B101" s="5" t="s">
        <v>60</v>
      </c>
      <c r="C101" s="1">
        <v>13</v>
      </c>
      <c r="D101" s="1">
        <v>107</v>
      </c>
      <c r="E101" s="1">
        <v>6</v>
      </c>
      <c r="F101">
        <v>6</v>
      </c>
      <c r="G101">
        <v>9</v>
      </c>
      <c r="H101" s="1">
        <v>11.8</v>
      </c>
      <c r="I101" s="1">
        <v>55.8</v>
      </c>
      <c r="J101" s="1">
        <v>29.5</v>
      </c>
      <c r="K101" s="1">
        <v>6.33</v>
      </c>
      <c r="L101" s="34">
        <f t="shared" si="9"/>
        <v>186.73500000000001</v>
      </c>
      <c r="M101" s="55">
        <v>45922.647060185183</v>
      </c>
      <c r="N101" s="1">
        <v>15.98</v>
      </c>
      <c r="O101" s="1">
        <v>12.4</v>
      </c>
      <c r="P101" s="1">
        <v>57.6</v>
      </c>
      <c r="Q101" s="56">
        <f t="shared" si="10"/>
        <v>3710.7385332155186</v>
      </c>
      <c r="R101" s="34">
        <f t="shared" si="11"/>
        <v>74.214770664310379</v>
      </c>
      <c r="V101" s="55">
        <v>45922.623564814814</v>
      </c>
      <c r="W101">
        <v>4</v>
      </c>
      <c r="X101">
        <v>2</v>
      </c>
      <c r="Y101">
        <v>99</v>
      </c>
      <c r="Z101">
        <v>19.079999999999998</v>
      </c>
      <c r="AA101">
        <v>12.5</v>
      </c>
      <c r="AB101">
        <v>57.6</v>
      </c>
      <c r="AC101">
        <v>29</v>
      </c>
    </row>
    <row r="102" spans="1:29" x14ac:dyDescent="0.25">
      <c r="A102" s="5" t="s">
        <v>54</v>
      </c>
      <c r="B102" s="5" t="s">
        <v>60</v>
      </c>
      <c r="C102" s="1">
        <v>13</v>
      </c>
      <c r="D102" s="1">
        <v>35</v>
      </c>
      <c r="E102" s="1">
        <v>2</v>
      </c>
      <c r="F102">
        <v>7</v>
      </c>
      <c r="G102">
        <v>5</v>
      </c>
      <c r="H102" s="1">
        <v>12.1</v>
      </c>
      <c r="I102" s="1">
        <v>55.2</v>
      </c>
      <c r="J102" s="1">
        <v>29.5</v>
      </c>
      <c r="K102" s="1">
        <v>6.33</v>
      </c>
      <c r="L102" s="34">
        <f t="shared" si="9"/>
        <v>186.73500000000001</v>
      </c>
      <c r="M102" s="55">
        <v>45922.588263888887</v>
      </c>
      <c r="N102" s="1">
        <v>18.47</v>
      </c>
      <c r="O102" s="1">
        <v>13.2</v>
      </c>
      <c r="P102" s="1">
        <v>57.2</v>
      </c>
      <c r="Q102" s="56">
        <f t="shared" si="10"/>
        <v>4249.7765282351993</v>
      </c>
      <c r="R102" s="34">
        <f t="shared" si="11"/>
        <v>84.995530564703984</v>
      </c>
      <c r="V102" s="55">
        <v>45922.606574074074</v>
      </c>
      <c r="W102">
        <v>4</v>
      </c>
      <c r="X102">
        <v>1</v>
      </c>
      <c r="Y102">
        <v>100</v>
      </c>
      <c r="Z102">
        <v>23.51</v>
      </c>
      <c r="AA102">
        <v>16.3</v>
      </c>
      <c r="AB102">
        <v>58.8</v>
      </c>
      <c r="AC102">
        <v>4</v>
      </c>
    </row>
    <row r="103" spans="1:29" x14ac:dyDescent="0.25">
      <c r="A103" s="5" t="s">
        <v>54</v>
      </c>
      <c r="B103" s="5" t="s">
        <v>60</v>
      </c>
      <c r="C103" s="1">
        <v>13</v>
      </c>
      <c r="D103" s="1">
        <v>42</v>
      </c>
      <c r="E103" s="1">
        <v>3</v>
      </c>
      <c r="F103">
        <v>9</v>
      </c>
      <c r="G103">
        <v>2</v>
      </c>
      <c r="H103" s="1">
        <v>12.7</v>
      </c>
      <c r="I103" s="1">
        <v>55.3</v>
      </c>
      <c r="J103" s="1">
        <v>29.5</v>
      </c>
      <c r="K103" s="1">
        <v>6.33</v>
      </c>
      <c r="L103" s="34">
        <f t="shared" si="9"/>
        <v>186.73500000000001</v>
      </c>
      <c r="M103" s="55">
        <v>45922.551481481481</v>
      </c>
      <c r="N103" s="1">
        <v>18.43</v>
      </c>
      <c r="O103" s="1">
        <v>13.7</v>
      </c>
      <c r="P103" s="1">
        <v>56.6</v>
      </c>
      <c r="Q103" s="56">
        <f t="shared" si="10"/>
        <v>4216.1456341874846</v>
      </c>
      <c r="R103" s="34">
        <f t="shared" si="11"/>
        <v>84.322912683749692</v>
      </c>
      <c r="V103" s="55">
        <v>45922.60728009259</v>
      </c>
      <c r="W103">
        <v>5</v>
      </c>
      <c r="X103">
        <v>1</v>
      </c>
      <c r="Y103">
        <v>101</v>
      </c>
      <c r="Z103">
        <v>20.010000000000002</v>
      </c>
      <c r="AA103">
        <v>13.9</v>
      </c>
      <c r="AB103">
        <v>56.8</v>
      </c>
      <c r="AC103">
        <v>5</v>
      </c>
    </row>
    <row r="104" spans="1:29" x14ac:dyDescent="0.25">
      <c r="A104" s="5" t="s">
        <v>54</v>
      </c>
      <c r="B104" s="5" t="s">
        <v>60</v>
      </c>
      <c r="C104" s="1">
        <v>13</v>
      </c>
      <c r="D104" s="1">
        <v>140</v>
      </c>
      <c r="E104" s="1">
        <v>7</v>
      </c>
      <c r="F104">
        <v>12</v>
      </c>
      <c r="G104">
        <v>6</v>
      </c>
      <c r="H104" s="1">
        <v>12.2</v>
      </c>
      <c r="I104" s="1">
        <v>56.6</v>
      </c>
      <c r="J104" s="1">
        <v>29.5</v>
      </c>
      <c r="K104" s="1">
        <v>6.33</v>
      </c>
      <c r="L104" s="34">
        <f t="shared" si="9"/>
        <v>186.73500000000001</v>
      </c>
      <c r="M104" s="55">
        <v>45922.612071759257</v>
      </c>
      <c r="N104" s="1">
        <v>16.37</v>
      </c>
      <c r="O104" s="1">
        <v>13.7</v>
      </c>
      <c r="P104" s="1">
        <v>58</v>
      </c>
      <c r="Q104" s="56">
        <f t="shared" si="10"/>
        <v>3744.8889870672342</v>
      </c>
      <c r="R104" s="34">
        <f t="shared" si="11"/>
        <v>74.897779741344678</v>
      </c>
      <c r="V104" s="55">
        <v>45922.622986111113</v>
      </c>
      <c r="W104">
        <v>5</v>
      </c>
      <c r="X104">
        <v>2</v>
      </c>
      <c r="Y104">
        <v>102</v>
      </c>
      <c r="Z104">
        <v>19.18</v>
      </c>
      <c r="AA104">
        <v>13.6</v>
      </c>
      <c r="AB104">
        <v>58.2</v>
      </c>
      <c r="AC104">
        <v>28</v>
      </c>
    </row>
    <row r="105" spans="1:29" x14ac:dyDescent="0.25">
      <c r="A105" s="5" t="s">
        <v>54</v>
      </c>
      <c r="B105" s="5" t="s">
        <v>60</v>
      </c>
      <c r="C105" s="1">
        <v>13</v>
      </c>
      <c r="D105" s="1">
        <v>70</v>
      </c>
      <c r="E105" s="1">
        <v>4</v>
      </c>
      <c r="F105">
        <v>14</v>
      </c>
      <c r="G105">
        <v>1</v>
      </c>
      <c r="H105" s="1">
        <v>12.7</v>
      </c>
      <c r="I105" s="1">
        <v>55</v>
      </c>
      <c r="J105" s="1">
        <v>29.5</v>
      </c>
      <c r="K105" s="1">
        <v>6.33</v>
      </c>
      <c r="L105" s="34">
        <f t="shared" si="9"/>
        <v>186.73500000000001</v>
      </c>
      <c r="M105" s="55">
        <v>45922.544004629628</v>
      </c>
      <c r="N105" s="1">
        <v>13.29</v>
      </c>
      <c r="O105" s="1">
        <v>15.3</v>
      </c>
      <c r="P105" s="1">
        <v>57.3</v>
      </c>
      <c r="Q105" s="56">
        <f t="shared" si="10"/>
        <v>2983.9247329102736</v>
      </c>
      <c r="R105" s="34">
        <f t="shared" si="11"/>
        <v>59.678494658205473</v>
      </c>
      <c r="V105" s="55">
        <v>45922.631296296298</v>
      </c>
      <c r="W105">
        <v>5</v>
      </c>
      <c r="X105">
        <v>3</v>
      </c>
      <c r="Y105">
        <v>103</v>
      </c>
      <c r="Z105">
        <v>19.22</v>
      </c>
      <c r="AA105">
        <v>13.8</v>
      </c>
      <c r="AB105">
        <v>58</v>
      </c>
      <c r="AC105">
        <v>37</v>
      </c>
    </row>
    <row r="106" spans="1:29" x14ac:dyDescent="0.25">
      <c r="A106" s="5" t="s">
        <v>54</v>
      </c>
      <c r="B106" s="5" t="s">
        <v>60</v>
      </c>
      <c r="C106" s="1">
        <v>13</v>
      </c>
      <c r="D106" s="1">
        <v>156</v>
      </c>
      <c r="E106" s="1">
        <v>8</v>
      </c>
      <c r="F106">
        <v>16</v>
      </c>
      <c r="G106">
        <v>10</v>
      </c>
      <c r="H106" s="1">
        <v>11.7</v>
      </c>
      <c r="I106" s="1">
        <v>55.5</v>
      </c>
      <c r="J106" s="1">
        <v>29.5</v>
      </c>
      <c r="K106" s="1">
        <v>6.33</v>
      </c>
      <c r="L106" s="34">
        <f t="shared" si="9"/>
        <v>186.73500000000001</v>
      </c>
      <c r="M106" s="55">
        <v>45922.660578703704</v>
      </c>
      <c r="N106" s="1">
        <v>16.440000000000001</v>
      </c>
      <c r="O106" s="1">
        <v>12.7</v>
      </c>
      <c r="P106" s="1">
        <v>57.2</v>
      </c>
      <c r="Q106" s="56">
        <f t="shared" si="10"/>
        <v>3804.4819664230058</v>
      </c>
      <c r="R106" s="34">
        <f t="shared" si="11"/>
        <v>76.089639328460123</v>
      </c>
      <c r="V106" s="55">
        <v>45922.647719907407</v>
      </c>
      <c r="W106">
        <v>5</v>
      </c>
      <c r="X106">
        <v>4</v>
      </c>
      <c r="Y106">
        <v>104</v>
      </c>
      <c r="Z106">
        <v>23.17</v>
      </c>
      <c r="AA106">
        <v>14.8</v>
      </c>
      <c r="AB106">
        <v>58.2</v>
      </c>
      <c r="AC106">
        <v>60</v>
      </c>
    </row>
    <row r="107" spans="1:29" x14ac:dyDescent="0.25">
      <c r="A107" s="5" t="s">
        <v>54</v>
      </c>
      <c r="B107" s="5" t="s">
        <v>63</v>
      </c>
      <c r="C107" s="1">
        <v>14</v>
      </c>
      <c r="D107" s="1">
        <v>91</v>
      </c>
      <c r="E107" s="1">
        <v>5</v>
      </c>
      <c r="F107">
        <v>3</v>
      </c>
      <c r="G107">
        <v>6</v>
      </c>
      <c r="H107" s="1">
        <v>12.4</v>
      </c>
      <c r="I107" s="1">
        <v>56.6</v>
      </c>
      <c r="J107" s="1">
        <v>29.5</v>
      </c>
      <c r="K107" s="1">
        <v>6.33</v>
      </c>
      <c r="L107" s="34">
        <f t="shared" si="9"/>
        <v>186.73500000000001</v>
      </c>
      <c r="M107" s="55">
        <v>45922.605902777781</v>
      </c>
      <c r="N107" s="1">
        <v>16.690000000000001</v>
      </c>
      <c r="O107" s="1">
        <v>14.2</v>
      </c>
      <c r="P107" s="1">
        <v>58.1</v>
      </c>
      <c r="Q107" s="56">
        <f t="shared" si="10"/>
        <v>3795.9728492248373</v>
      </c>
      <c r="R107" s="34">
        <f t="shared" si="11"/>
        <v>75.919456984496748</v>
      </c>
      <c r="V107" s="55">
        <v>45922.653784722221</v>
      </c>
      <c r="W107">
        <v>5</v>
      </c>
      <c r="X107">
        <v>5</v>
      </c>
      <c r="Y107">
        <v>105</v>
      </c>
      <c r="Z107">
        <v>16.57</v>
      </c>
      <c r="AA107">
        <v>14.5</v>
      </c>
      <c r="AB107">
        <v>57.3</v>
      </c>
      <c r="AC107">
        <v>69</v>
      </c>
    </row>
    <row r="108" spans="1:29" x14ac:dyDescent="0.25">
      <c r="A108" s="5" t="s">
        <v>54</v>
      </c>
      <c r="B108" s="5" t="s">
        <v>63</v>
      </c>
      <c r="C108" s="1">
        <v>14</v>
      </c>
      <c r="D108" s="1">
        <v>18</v>
      </c>
      <c r="E108" s="1">
        <v>1</v>
      </c>
      <c r="F108">
        <v>4</v>
      </c>
      <c r="G108">
        <v>3</v>
      </c>
      <c r="H108" s="1">
        <v>12.1</v>
      </c>
      <c r="I108" s="1">
        <v>56.3</v>
      </c>
      <c r="J108" s="1">
        <v>29.5</v>
      </c>
      <c r="K108" s="1">
        <v>6.33</v>
      </c>
      <c r="L108" s="34">
        <f t="shared" si="9"/>
        <v>186.73500000000001</v>
      </c>
      <c r="M108" s="55">
        <v>45922.560358796298</v>
      </c>
      <c r="N108" s="1">
        <v>19.5</v>
      </c>
      <c r="O108" s="1">
        <v>14.3</v>
      </c>
      <c r="P108" s="1">
        <v>58.2</v>
      </c>
      <c r="Q108" s="56">
        <f t="shared" si="10"/>
        <v>4429.9100329343719</v>
      </c>
      <c r="R108" s="34">
        <f t="shared" si="11"/>
        <v>88.598200658687432</v>
      </c>
      <c r="V108" s="55">
        <v>45922.654444444444</v>
      </c>
      <c r="W108">
        <v>6</v>
      </c>
      <c r="X108">
        <v>5</v>
      </c>
      <c r="Y108">
        <v>106</v>
      </c>
      <c r="Z108">
        <v>19.47</v>
      </c>
      <c r="AA108">
        <v>14.1</v>
      </c>
      <c r="AB108">
        <v>57.7</v>
      </c>
      <c r="AC108">
        <v>70</v>
      </c>
    </row>
    <row r="109" spans="1:29" x14ac:dyDescent="0.25">
      <c r="A109" s="5" t="s">
        <v>54</v>
      </c>
      <c r="B109" s="5" t="s">
        <v>63</v>
      </c>
      <c r="C109" s="1">
        <v>14</v>
      </c>
      <c r="D109" s="1">
        <v>30</v>
      </c>
      <c r="E109" s="1">
        <v>2</v>
      </c>
      <c r="F109">
        <v>6</v>
      </c>
      <c r="G109">
        <v>1</v>
      </c>
      <c r="H109" s="1">
        <v>12.5</v>
      </c>
      <c r="I109" s="1">
        <v>57.8</v>
      </c>
      <c r="J109" s="1">
        <v>29.5</v>
      </c>
      <c r="K109" s="1">
        <v>6.33</v>
      </c>
      <c r="L109" s="34">
        <f t="shared" si="9"/>
        <v>186.73500000000001</v>
      </c>
      <c r="M109" s="55">
        <v>45922.537997685184</v>
      </c>
      <c r="N109" s="1">
        <v>16.329999999999998</v>
      </c>
      <c r="O109" s="1">
        <v>15.3</v>
      </c>
      <c r="P109" s="1">
        <v>58.5</v>
      </c>
      <c r="Q109" s="56">
        <f t="shared" si="10"/>
        <v>3666.4778697084098</v>
      </c>
      <c r="R109" s="34">
        <f t="shared" si="11"/>
        <v>73.329557394168191</v>
      </c>
      <c r="V109" s="55">
        <v>45922.647060185183</v>
      </c>
      <c r="W109">
        <v>6</v>
      </c>
      <c r="X109">
        <v>4</v>
      </c>
      <c r="Y109">
        <v>107</v>
      </c>
      <c r="Z109">
        <v>15.98</v>
      </c>
      <c r="AA109">
        <v>12.4</v>
      </c>
      <c r="AB109">
        <v>57.6</v>
      </c>
      <c r="AC109">
        <v>59</v>
      </c>
    </row>
    <row r="110" spans="1:29" x14ac:dyDescent="0.25">
      <c r="A110" s="5" t="s">
        <v>54</v>
      </c>
      <c r="B110" s="5" t="s">
        <v>63</v>
      </c>
      <c r="C110" s="1">
        <v>14</v>
      </c>
      <c r="D110" s="1">
        <v>119</v>
      </c>
      <c r="E110" s="1">
        <v>6</v>
      </c>
      <c r="F110">
        <v>8</v>
      </c>
      <c r="G110">
        <v>7</v>
      </c>
      <c r="H110" s="1">
        <v>12.5</v>
      </c>
      <c r="I110" s="1">
        <v>55.8</v>
      </c>
      <c r="J110" s="1">
        <v>29.5</v>
      </c>
      <c r="K110" s="1">
        <v>6.33</v>
      </c>
      <c r="L110" s="34">
        <f t="shared" si="9"/>
        <v>186.73500000000001</v>
      </c>
      <c r="M110" s="55">
        <v>45922.621041666665</v>
      </c>
      <c r="N110" s="1">
        <v>17.25</v>
      </c>
      <c r="O110" s="1">
        <v>13.9</v>
      </c>
      <c r="P110" s="1">
        <v>58</v>
      </c>
      <c r="Q110" s="56">
        <f t="shared" si="10"/>
        <v>3937.0571933488632</v>
      </c>
      <c r="R110" s="34">
        <f t="shared" si="11"/>
        <v>78.741143866977268</v>
      </c>
      <c r="V110" s="55">
        <v>45922.632175925923</v>
      </c>
      <c r="W110">
        <v>6</v>
      </c>
      <c r="X110">
        <v>3</v>
      </c>
      <c r="Y110">
        <v>108</v>
      </c>
      <c r="Z110">
        <v>18.89</v>
      </c>
      <c r="AA110">
        <v>15.4</v>
      </c>
      <c r="AB110">
        <v>58.8</v>
      </c>
      <c r="AC110">
        <v>38</v>
      </c>
    </row>
    <row r="111" spans="1:29" x14ac:dyDescent="0.25">
      <c r="A111" s="5" t="s">
        <v>54</v>
      </c>
      <c r="B111" s="5" t="s">
        <v>63</v>
      </c>
      <c r="C111" s="1">
        <v>14</v>
      </c>
      <c r="D111" s="1">
        <v>123</v>
      </c>
      <c r="E111" s="1">
        <v>7</v>
      </c>
      <c r="F111">
        <v>9</v>
      </c>
      <c r="G111">
        <v>8</v>
      </c>
      <c r="H111" s="1">
        <v>12.7</v>
      </c>
      <c r="I111" s="1">
        <v>56.3</v>
      </c>
      <c r="J111" s="1">
        <v>29.5</v>
      </c>
      <c r="K111" s="1">
        <v>6.33</v>
      </c>
      <c r="L111" s="34">
        <f t="shared" si="9"/>
        <v>186.73500000000001</v>
      </c>
      <c r="M111" s="55">
        <v>45922.634212962963</v>
      </c>
      <c r="N111" s="1">
        <v>18.579999999999998</v>
      </c>
      <c r="O111" s="1">
        <v>15</v>
      </c>
      <c r="P111" s="1">
        <v>58.1</v>
      </c>
      <c r="Q111" s="56">
        <f t="shared" si="10"/>
        <v>4186.4326451923844</v>
      </c>
      <c r="R111" s="34">
        <f t="shared" si="11"/>
        <v>83.728652903847689</v>
      </c>
      <c r="V111" s="55">
        <v>45922.622407407405</v>
      </c>
      <c r="W111">
        <v>6</v>
      </c>
      <c r="X111">
        <v>2</v>
      </c>
      <c r="Y111">
        <v>109</v>
      </c>
      <c r="Z111">
        <v>17.03</v>
      </c>
      <c r="AA111">
        <v>13.1</v>
      </c>
      <c r="AB111">
        <v>57.5</v>
      </c>
      <c r="AC111">
        <v>27</v>
      </c>
    </row>
    <row r="112" spans="1:29" x14ac:dyDescent="0.25">
      <c r="A112" s="5" t="s">
        <v>54</v>
      </c>
      <c r="B112" s="5" t="s">
        <v>63</v>
      </c>
      <c r="C112" s="1">
        <v>14</v>
      </c>
      <c r="D112" s="1">
        <v>54</v>
      </c>
      <c r="E112" s="1">
        <v>3</v>
      </c>
      <c r="F112">
        <v>11</v>
      </c>
      <c r="G112">
        <v>4</v>
      </c>
      <c r="H112" s="1">
        <v>12.6</v>
      </c>
      <c r="I112" s="1">
        <v>55.7</v>
      </c>
      <c r="J112" s="1">
        <v>29.5</v>
      </c>
      <c r="K112" s="1">
        <v>6.33</v>
      </c>
      <c r="L112" s="34">
        <f t="shared" si="9"/>
        <v>186.73500000000001</v>
      </c>
      <c r="M112" s="55">
        <v>45922.572731481479</v>
      </c>
      <c r="N112" s="1">
        <v>17.57</v>
      </c>
      <c r="O112" s="1">
        <v>14</v>
      </c>
      <c r="P112" s="1">
        <v>58.3</v>
      </c>
      <c r="Q112" s="56">
        <f t="shared" si="10"/>
        <v>4005.4349746967628</v>
      </c>
      <c r="R112" s="34">
        <f t="shared" si="11"/>
        <v>80.108699493935262</v>
      </c>
      <c r="V112" s="55">
        <v>45922.607939814814</v>
      </c>
      <c r="W112">
        <v>6</v>
      </c>
      <c r="X112">
        <v>1</v>
      </c>
      <c r="Y112">
        <v>110</v>
      </c>
      <c r="Z112">
        <v>23.32</v>
      </c>
      <c r="AA112">
        <v>14.3</v>
      </c>
      <c r="AB112">
        <v>57.6</v>
      </c>
      <c r="AC112">
        <v>6</v>
      </c>
    </row>
    <row r="113" spans="1:29" x14ac:dyDescent="0.25">
      <c r="A113" s="5" t="s">
        <v>54</v>
      </c>
      <c r="B113" s="5" t="s">
        <v>63</v>
      </c>
      <c r="C113" s="1">
        <v>14</v>
      </c>
      <c r="D113" s="1">
        <v>69</v>
      </c>
      <c r="E113" s="1">
        <v>4</v>
      </c>
      <c r="F113">
        <v>14</v>
      </c>
      <c r="G113">
        <v>2</v>
      </c>
      <c r="H113" s="1">
        <v>13.8</v>
      </c>
      <c r="I113" s="1">
        <v>54.8</v>
      </c>
      <c r="J113" s="1">
        <v>29.5</v>
      </c>
      <c r="K113" s="1">
        <v>6.33</v>
      </c>
      <c r="L113" s="34">
        <f t="shared" si="9"/>
        <v>186.73500000000001</v>
      </c>
      <c r="M113" s="55">
        <v>45922.548067129632</v>
      </c>
      <c r="N113" s="1">
        <v>17.25</v>
      </c>
      <c r="O113" s="1">
        <v>15.6</v>
      </c>
      <c r="P113" s="1">
        <v>57.1</v>
      </c>
      <c r="Q113" s="56">
        <f t="shared" si="10"/>
        <v>3859.3220338983051</v>
      </c>
      <c r="R113" s="34">
        <f t="shared" si="11"/>
        <v>77.186440677966104</v>
      </c>
      <c r="V113" s="55">
        <v>45922.608749999999</v>
      </c>
      <c r="W113">
        <v>7</v>
      </c>
      <c r="X113">
        <v>1</v>
      </c>
      <c r="Y113">
        <v>111</v>
      </c>
      <c r="Z113">
        <v>24.04</v>
      </c>
      <c r="AA113">
        <v>16</v>
      </c>
      <c r="AB113">
        <v>57.8</v>
      </c>
      <c r="AC113">
        <v>7</v>
      </c>
    </row>
    <row r="114" spans="1:29" x14ac:dyDescent="0.25">
      <c r="A114" s="5" t="s">
        <v>54</v>
      </c>
      <c r="B114" s="5" t="s">
        <v>63</v>
      </c>
      <c r="C114" s="1">
        <v>14</v>
      </c>
      <c r="D114" s="1">
        <v>157</v>
      </c>
      <c r="E114" s="1">
        <v>8</v>
      </c>
      <c r="F114">
        <v>16</v>
      </c>
      <c r="G114">
        <v>9</v>
      </c>
      <c r="H114" s="1">
        <v>12.3</v>
      </c>
      <c r="I114" s="1">
        <v>56.1</v>
      </c>
      <c r="J114" s="1">
        <v>29.5</v>
      </c>
      <c r="K114" s="1">
        <v>6.33</v>
      </c>
      <c r="L114" s="34">
        <f t="shared" si="9"/>
        <v>186.73500000000001</v>
      </c>
      <c r="M114" s="55">
        <v>45922.640740740739</v>
      </c>
      <c r="N114" s="1">
        <v>15.31</v>
      </c>
      <c r="O114" s="1">
        <v>14.2</v>
      </c>
      <c r="P114" s="1">
        <v>58.1</v>
      </c>
      <c r="Q114" s="56">
        <f t="shared" si="10"/>
        <v>3482.1057113021125</v>
      </c>
      <c r="R114" s="34">
        <f t="shared" si="11"/>
        <v>69.642114226042253</v>
      </c>
      <c r="V114" s="55">
        <v>45922.621817129628</v>
      </c>
      <c r="W114">
        <v>7</v>
      </c>
      <c r="X114">
        <v>2</v>
      </c>
      <c r="Y114">
        <v>112</v>
      </c>
      <c r="Z114">
        <v>19.43</v>
      </c>
      <c r="AA114">
        <v>16.899999999999999</v>
      </c>
      <c r="AB114">
        <v>58.3</v>
      </c>
      <c r="AC114">
        <v>26</v>
      </c>
    </row>
    <row r="115" spans="1:29" x14ac:dyDescent="0.25">
      <c r="A115" s="5" t="s">
        <v>54</v>
      </c>
      <c r="B115" s="5" t="s">
        <v>55</v>
      </c>
      <c r="C115" s="1">
        <v>15</v>
      </c>
      <c r="D115" s="1">
        <v>1</v>
      </c>
      <c r="E115" s="1">
        <v>1</v>
      </c>
      <c r="F115">
        <v>1</v>
      </c>
      <c r="G115">
        <v>1</v>
      </c>
      <c r="H115" s="1">
        <v>13.6</v>
      </c>
      <c r="I115" s="1">
        <v>57</v>
      </c>
      <c r="J115" s="1">
        <v>29.5</v>
      </c>
      <c r="K115" s="1">
        <v>6.33</v>
      </c>
      <c r="L115" s="34">
        <f t="shared" si="9"/>
        <v>186.73500000000001</v>
      </c>
      <c r="M115" s="55">
        <v>45922.529861111114</v>
      </c>
      <c r="N115" s="1">
        <v>23.1</v>
      </c>
      <c r="O115" s="1">
        <v>15.6</v>
      </c>
      <c r="P115" s="1">
        <v>56.9</v>
      </c>
      <c r="Q115" s="56">
        <f t="shared" si="10"/>
        <v>5168.1355932203396</v>
      </c>
      <c r="R115" s="34">
        <f t="shared" si="11"/>
        <v>103.36271186440679</v>
      </c>
      <c r="V115" s="55">
        <v>45922.632881944446</v>
      </c>
      <c r="W115">
        <v>7</v>
      </c>
      <c r="X115">
        <v>3</v>
      </c>
      <c r="Y115">
        <v>113</v>
      </c>
      <c r="Z115">
        <v>20.77</v>
      </c>
      <c r="AA115">
        <v>16.3</v>
      </c>
      <c r="AB115">
        <v>58.7</v>
      </c>
      <c r="AC115">
        <v>39</v>
      </c>
    </row>
    <row r="116" spans="1:29" x14ac:dyDescent="0.25">
      <c r="A116" s="5" t="s">
        <v>54</v>
      </c>
      <c r="B116" s="5" t="s">
        <v>55</v>
      </c>
      <c r="C116" s="1">
        <v>15</v>
      </c>
      <c r="D116" s="1">
        <v>95</v>
      </c>
      <c r="E116" s="1">
        <v>5</v>
      </c>
      <c r="F116">
        <v>3</v>
      </c>
      <c r="G116">
        <v>10</v>
      </c>
      <c r="H116" s="1">
        <v>12.4</v>
      </c>
      <c r="I116" s="1">
        <v>56.7</v>
      </c>
      <c r="J116" s="1">
        <v>29.5</v>
      </c>
      <c r="K116" s="1">
        <v>6.33</v>
      </c>
      <c r="L116" s="34">
        <f t="shared" si="9"/>
        <v>186.73500000000001</v>
      </c>
      <c r="M116" s="55">
        <v>45922.652395833335</v>
      </c>
      <c r="N116" s="1">
        <v>21.22</v>
      </c>
      <c r="O116" s="1">
        <v>15.8</v>
      </c>
      <c r="P116" s="1">
        <v>58.6</v>
      </c>
      <c r="Q116" s="56">
        <f t="shared" si="10"/>
        <v>4736.2753634830115</v>
      </c>
      <c r="R116" s="34">
        <f t="shared" si="11"/>
        <v>94.725507269660227</v>
      </c>
      <c r="V116" s="55">
        <v>45922.646296296298</v>
      </c>
      <c r="W116">
        <v>7</v>
      </c>
      <c r="X116">
        <v>4</v>
      </c>
      <c r="Y116">
        <v>114</v>
      </c>
      <c r="Z116">
        <v>22.33</v>
      </c>
      <c r="AA116">
        <v>15.4</v>
      </c>
      <c r="AB116">
        <v>58.4</v>
      </c>
      <c r="AC116">
        <v>58</v>
      </c>
    </row>
    <row r="117" spans="1:29" x14ac:dyDescent="0.25">
      <c r="A117" s="5" t="s">
        <v>54</v>
      </c>
      <c r="B117" s="5" t="s">
        <v>55</v>
      </c>
      <c r="C117" s="1">
        <v>15</v>
      </c>
      <c r="D117" s="1">
        <v>22</v>
      </c>
      <c r="E117" s="1">
        <v>2</v>
      </c>
      <c r="F117">
        <v>5</v>
      </c>
      <c r="G117">
        <v>2</v>
      </c>
      <c r="H117" s="1">
        <v>13</v>
      </c>
      <c r="I117" s="1">
        <v>57.2</v>
      </c>
      <c r="J117" s="1">
        <v>29.5</v>
      </c>
      <c r="K117" s="1">
        <v>6.33</v>
      </c>
      <c r="L117" s="34">
        <f t="shared" si="9"/>
        <v>186.73500000000001</v>
      </c>
      <c r="M117" s="55">
        <v>45922.554178240738</v>
      </c>
      <c r="N117" s="1">
        <v>23.45</v>
      </c>
      <c r="O117" s="1">
        <v>14.6</v>
      </c>
      <c r="P117" s="1">
        <v>58.3</v>
      </c>
      <c r="Q117" s="56">
        <f t="shared" si="10"/>
        <v>5308.6022973732834</v>
      </c>
      <c r="R117" s="34">
        <f t="shared" si="11"/>
        <v>106.17204594746566</v>
      </c>
      <c r="V117" s="55">
        <v>45922.655023148145</v>
      </c>
      <c r="W117">
        <v>7</v>
      </c>
      <c r="X117">
        <v>5</v>
      </c>
      <c r="Y117">
        <v>115</v>
      </c>
      <c r="Z117">
        <v>20.13</v>
      </c>
      <c r="AA117">
        <v>14.9</v>
      </c>
      <c r="AB117">
        <v>58.4</v>
      </c>
      <c r="AC117">
        <v>71</v>
      </c>
    </row>
    <row r="118" spans="1:29" x14ac:dyDescent="0.25">
      <c r="A118" s="5" t="s">
        <v>54</v>
      </c>
      <c r="B118" s="5" t="s">
        <v>55</v>
      </c>
      <c r="C118" s="1">
        <v>15</v>
      </c>
      <c r="D118" s="1">
        <v>113</v>
      </c>
      <c r="E118" s="1">
        <v>6</v>
      </c>
      <c r="F118">
        <v>7</v>
      </c>
      <c r="G118">
        <v>8</v>
      </c>
      <c r="H118" s="1">
        <v>13.3</v>
      </c>
      <c r="I118" s="1">
        <v>56.5</v>
      </c>
      <c r="J118" s="1">
        <v>29.5</v>
      </c>
      <c r="K118" s="1">
        <v>6.33</v>
      </c>
      <c r="L118" s="34">
        <f t="shared" si="9"/>
        <v>186.73500000000001</v>
      </c>
      <c r="M118" s="55">
        <v>45922.632881944446</v>
      </c>
      <c r="N118" s="1">
        <v>20.77</v>
      </c>
      <c r="O118" s="1">
        <v>16.3</v>
      </c>
      <c r="P118" s="1">
        <v>58.7</v>
      </c>
      <c r="Q118" s="56">
        <f t="shared" si="10"/>
        <v>4608.3072535946667</v>
      </c>
      <c r="R118" s="34">
        <f t="shared" si="11"/>
        <v>92.166145071893339</v>
      </c>
      <c r="V118" s="55">
        <v>45922.655601851853</v>
      </c>
      <c r="W118">
        <v>8</v>
      </c>
      <c r="X118">
        <v>5</v>
      </c>
      <c r="Y118">
        <v>116</v>
      </c>
      <c r="Z118">
        <v>22.24</v>
      </c>
      <c r="AA118">
        <v>16.899999999999999</v>
      </c>
      <c r="AB118">
        <v>58.7</v>
      </c>
      <c r="AC118">
        <v>72</v>
      </c>
    </row>
    <row r="119" spans="1:29" x14ac:dyDescent="0.25">
      <c r="A119" s="5" t="s">
        <v>54</v>
      </c>
      <c r="B119" s="5" t="s">
        <v>55</v>
      </c>
      <c r="C119" s="1">
        <v>15</v>
      </c>
      <c r="D119" s="1">
        <v>47</v>
      </c>
      <c r="E119" s="1">
        <v>3</v>
      </c>
      <c r="F119">
        <v>10</v>
      </c>
      <c r="G119">
        <v>4</v>
      </c>
      <c r="H119" s="1">
        <v>13.4</v>
      </c>
      <c r="I119" s="1">
        <v>56.9</v>
      </c>
      <c r="J119" s="1">
        <v>29.5</v>
      </c>
      <c r="K119" s="1">
        <v>6.33</v>
      </c>
      <c r="L119" s="34">
        <f t="shared" si="9"/>
        <v>186.73500000000001</v>
      </c>
      <c r="M119" s="55">
        <v>45922.573321759257</v>
      </c>
      <c r="N119" s="1">
        <v>22.91</v>
      </c>
      <c r="O119" s="1">
        <v>15.9</v>
      </c>
      <c r="P119" s="1">
        <v>58.7</v>
      </c>
      <c r="Q119" s="56">
        <f t="shared" si="10"/>
        <v>5107.408064904811</v>
      </c>
      <c r="R119" s="34">
        <f t="shared" si="11"/>
        <v>102.14816129809623</v>
      </c>
      <c r="V119" s="55">
        <v>45922.645671296297</v>
      </c>
      <c r="W119">
        <v>8</v>
      </c>
      <c r="X119">
        <v>4</v>
      </c>
      <c r="Y119">
        <v>117</v>
      </c>
      <c r="Z119">
        <v>17.98</v>
      </c>
      <c r="AA119">
        <v>13.1</v>
      </c>
      <c r="AB119">
        <v>57.6</v>
      </c>
      <c r="AC119">
        <v>57</v>
      </c>
    </row>
    <row r="120" spans="1:29" x14ac:dyDescent="0.25">
      <c r="A120" s="5" t="s">
        <v>54</v>
      </c>
      <c r="B120" s="5" t="s">
        <v>55</v>
      </c>
      <c r="C120" s="1">
        <v>15</v>
      </c>
      <c r="D120" s="1">
        <v>134</v>
      </c>
      <c r="E120" s="1">
        <v>7</v>
      </c>
      <c r="F120">
        <v>11</v>
      </c>
      <c r="G120">
        <v>9</v>
      </c>
      <c r="H120" s="1">
        <v>13.3</v>
      </c>
      <c r="I120" s="1">
        <v>56.7</v>
      </c>
      <c r="J120" s="1">
        <v>29.5</v>
      </c>
      <c r="K120" s="1">
        <v>6.33</v>
      </c>
      <c r="L120" s="34">
        <f t="shared" si="9"/>
        <v>186.73500000000001</v>
      </c>
      <c r="M120" s="55">
        <v>45922.643657407411</v>
      </c>
      <c r="N120" s="1">
        <v>20.69</v>
      </c>
      <c r="O120" s="1">
        <v>17.2</v>
      </c>
      <c r="P120" s="1">
        <v>58.8</v>
      </c>
      <c r="Q120" s="56">
        <f t="shared" si="10"/>
        <v>4541.1965619728489</v>
      </c>
      <c r="R120" s="34">
        <f t="shared" si="11"/>
        <v>90.823931239456982</v>
      </c>
      <c r="V120" s="55">
        <v>45922.633587962962</v>
      </c>
      <c r="W120">
        <v>8</v>
      </c>
      <c r="X120">
        <v>3</v>
      </c>
      <c r="Y120">
        <v>118</v>
      </c>
      <c r="Z120">
        <v>21.07</v>
      </c>
      <c r="AA120">
        <v>15.3</v>
      </c>
      <c r="AB120">
        <v>57.3</v>
      </c>
      <c r="AC120">
        <v>40</v>
      </c>
    </row>
    <row r="121" spans="1:29" x14ac:dyDescent="0.25">
      <c r="A121" s="5" t="s">
        <v>54</v>
      </c>
      <c r="B121" s="5" t="s">
        <v>55</v>
      </c>
      <c r="C121" s="1">
        <v>15</v>
      </c>
      <c r="D121" s="1">
        <v>142</v>
      </c>
      <c r="E121" s="1">
        <v>8</v>
      </c>
      <c r="F121">
        <v>13</v>
      </c>
      <c r="G121">
        <v>7</v>
      </c>
      <c r="H121" s="1">
        <v>13.3</v>
      </c>
      <c r="I121" s="1">
        <v>57.1</v>
      </c>
      <c r="J121" s="1">
        <v>29.5</v>
      </c>
      <c r="K121" s="1">
        <v>6.33</v>
      </c>
      <c r="L121" s="34">
        <f t="shared" si="9"/>
        <v>186.73500000000001</v>
      </c>
      <c r="M121" s="55">
        <v>45922.617951388886</v>
      </c>
      <c r="N121" s="1">
        <v>22.48</v>
      </c>
      <c r="O121" s="1">
        <v>16.5</v>
      </c>
      <c r="P121" s="1">
        <v>58.1</v>
      </c>
      <c r="Q121" s="56">
        <f t="shared" si="10"/>
        <v>4975.7924331271588</v>
      </c>
      <c r="R121" s="34">
        <f t="shared" si="11"/>
        <v>99.515848662543178</v>
      </c>
      <c r="V121" s="55">
        <v>45922.621041666665</v>
      </c>
      <c r="W121">
        <v>8</v>
      </c>
      <c r="X121">
        <v>2</v>
      </c>
      <c r="Y121">
        <v>119</v>
      </c>
      <c r="Z121">
        <v>17.25</v>
      </c>
      <c r="AA121">
        <v>13.9</v>
      </c>
      <c r="AB121">
        <v>58</v>
      </c>
      <c r="AC121">
        <v>25</v>
      </c>
    </row>
    <row r="122" spans="1:29" x14ac:dyDescent="0.25">
      <c r="A122" s="5" t="s">
        <v>54</v>
      </c>
      <c r="B122" s="5" t="s">
        <v>55</v>
      </c>
      <c r="C122" s="1">
        <v>15</v>
      </c>
      <c r="D122" s="1">
        <v>66</v>
      </c>
      <c r="E122" s="1">
        <v>4</v>
      </c>
      <c r="F122">
        <v>14</v>
      </c>
      <c r="G122">
        <v>5</v>
      </c>
      <c r="H122" s="1">
        <v>13.3</v>
      </c>
      <c r="I122" s="1">
        <v>56.3</v>
      </c>
      <c r="J122" s="1">
        <v>29.5</v>
      </c>
      <c r="K122" s="1">
        <v>6.33</v>
      </c>
      <c r="L122" s="34">
        <f t="shared" si="9"/>
        <v>186.73500000000001</v>
      </c>
      <c r="M122" s="55">
        <v>45922.592893518522</v>
      </c>
      <c r="N122" s="1">
        <v>21.27</v>
      </c>
      <c r="O122" s="1">
        <v>17.600000000000001</v>
      </c>
      <c r="P122" s="1">
        <v>58.7</v>
      </c>
      <c r="Q122" s="56">
        <f t="shared" si="10"/>
        <v>4645.9461804160974</v>
      </c>
      <c r="R122" s="34">
        <f t="shared" si="11"/>
        <v>92.918923608321947</v>
      </c>
      <c r="V122" s="55">
        <v>45922.609386574077</v>
      </c>
      <c r="W122">
        <v>8</v>
      </c>
      <c r="X122">
        <v>1</v>
      </c>
      <c r="Y122">
        <v>120</v>
      </c>
      <c r="Z122">
        <v>17.850000000000001</v>
      </c>
      <c r="AA122">
        <v>14.8</v>
      </c>
      <c r="AB122">
        <v>58.6</v>
      </c>
      <c r="AC122">
        <v>8</v>
      </c>
    </row>
    <row r="123" spans="1:29" x14ac:dyDescent="0.25">
      <c r="A123" s="5" t="s">
        <v>54</v>
      </c>
      <c r="B123" s="5" t="s">
        <v>57</v>
      </c>
      <c r="C123" s="1">
        <v>16</v>
      </c>
      <c r="D123" s="1">
        <v>3</v>
      </c>
      <c r="E123" s="1">
        <v>1</v>
      </c>
      <c r="F123">
        <v>1</v>
      </c>
      <c r="G123">
        <v>3</v>
      </c>
      <c r="H123" s="1">
        <v>12.6</v>
      </c>
      <c r="I123" s="1">
        <v>56.1</v>
      </c>
      <c r="J123" s="1">
        <v>29.5</v>
      </c>
      <c r="K123" s="1">
        <v>6.33</v>
      </c>
      <c r="L123" s="34">
        <f t="shared" si="9"/>
        <v>186.73500000000001</v>
      </c>
      <c r="M123" s="55">
        <v>45922.558148148149</v>
      </c>
      <c r="N123" s="1">
        <v>21.78</v>
      </c>
      <c r="O123" s="1">
        <v>15.7</v>
      </c>
      <c r="P123" s="1">
        <v>57.6</v>
      </c>
      <c r="Q123" s="56">
        <f t="shared" si="10"/>
        <v>4867.0400835408464</v>
      </c>
      <c r="R123" s="34">
        <f t="shared" si="11"/>
        <v>97.34080167081693</v>
      </c>
      <c r="V123" s="55">
        <v>45922.61</v>
      </c>
      <c r="W123">
        <v>9</v>
      </c>
      <c r="X123">
        <v>1</v>
      </c>
      <c r="Y123">
        <v>121</v>
      </c>
      <c r="Z123">
        <v>23.27</v>
      </c>
      <c r="AA123">
        <v>19.399999999999999</v>
      </c>
      <c r="AB123">
        <v>58.4</v>
      </c>
      <c r="AC123">
        <v>9</v>
      </c>
    </row>
    <row r="124" spans="1:29" x14ac:dyDescent="0.25">
      <c r="A124" s="5" t="s">
        <v>54</v>
      </c>
      <c r="B124" s="5" t="s">
        <v>57</v>
      </c>
      <c r="C124" s="1">
        <v>16</v>
      </c>
      <c r="D124" s="1">
        <v>94</v>
      </c>
      <c r="E124" s="1">
        <v>5</v>
      </c>
      <c r="F124">
        <v>3</v>
      </c>
      <c r="G124">
        <v>9</v>
      </c>
      <c r="H124" s="1">
        <v>12.5</v>
      </c>
      <c r="I124" s="1">
        <v>56.9</v>
      </c>
      <c r="J124" s="1">
        <v>29.5</v>
      </c>
      <c r="K124" s="1">
        <v>6.33</v>
      </c>
      <c r="L124" s="34">
        <f t="shared" si="9"/>
        <v>186.73500000000001</v>
      </c>
      <c r="M124" s="55">
        <v>45922.649004629631</v>
      </c>
      <c r="N124" s="1">
        <v>17.57</v>
      </c>
      <c r="O124" s="1">
        <v>14.8</v>
      </c>
      <c r="P124" s="1">
        <v>57.2</v>
      </c>
      <c r="Q124" s="56">
        <f t="shared" si="10"/>
        <v>3968.1751144670261</v>
      </c>
      <c r="R124" s="34">
        <f t="shared" si="11"/>
        <v>79.363502289340516</v>
      </c>
      <c r="V124" s="55">
        <v>45922.620451388888</v>
      </c>
      <c r="W124">
        <v>9</v>
      </c>
      <c r="X124">
        <v>2</v>
      </c>
      <c r="Y124">
        <v>122</v>
      </c>
      <c r="Z124">
        <v>24.29</v>
      </c>
      <c r="AA124">
        <v>17.5</v>
      </c>
      <c r="AB124">
        <v>58.3</v>
      </c>
      <c r="AC124">
        <v>24</v>
      </c>
    </row>
    <row r="125" spans="1:29" x14ac:dyDescent="0.25">
      <c r="A125" s="5" t="s">
        <v>54</v>
      </c>
      <c r="B125" s="5" t="s">
        <v>57</v>
      </c>
      <c r="C125" s="1">
        <v>16</v>
      </c>
      <c r="D125" s="1">
        <v>108</v>
      </c>
      <c r="E125" s="1">
        <v>6</v>
      </c>
      <c r="F125">
        <v>6</v>
      </c>
      <c r="G125">
        <v>8</v>
      </c>
      <c r="H125" s="1">
        <v>12.5</v>
      </c>
      <c r="I125" s="1">
        <v>56</v>
      </c>
      <c r="J125" s="1">
        <v>29.5</v>
      </c>
      <c r="K125" s="1">
        <v>6.33</v>
      </c>
      <c r="L125" s="34">
        <f t="shared" si="9"/>
        <v>186.73500000000001</v>
      </c>
      <c r="M125" s="55">
        <v>45922.632175925923</v>
      </c>
      <c r="N125" s="1">
        <v>18.89</v>
      </c>
      <c r="O125" s="1">
        <v>15.4</v>
      </c>
      <c r="P125" s="1">
        <v>58.8</v>
      </c>
      <c r="Q125" s="56">
        <f t="shared" si="10"/>
        <v>4236.2520684392312</v>
      </c>
      <c r="R125" s="34">
        <f t="shared" si="11"/>
        <v>84.725041368784616</v>
      </c>
      <c r="V125" s="55">
        <v>45922.634212962963</v>
      </c>
      <c r="W125">
        <v>9</v>
      </c>
      <c r="X125">
        <v>3</v>
      </c>
      <c r="Y125">
        <v>123</v>
      </c>
      <c r="Z125">
        <v>18.579999999999998</v>
      </c>
      <c r="AA125">
        <v>15</v>
      </c>
      <c r="AB125">
        <v>58.1</v>
      </c>
      <c r="AC125">
        <v>41</v>
      </c>
    </row>
    <row r="126" spans="1:29" x14ac:dyDescent="0.25">
      <c r="A126" s="5" t="s">
        <v>54</v>
      </c>
      <c r="B126" s="5" t="s">
        <v>57</v>
      </c>
      <c r="C126" s="1">
        <v>16</v>
      </c>
      <c r="D126" s="1">
        <v>40</v>
      </c>
      <c r="E126" s="1">
        <v>2</v>
      </c>
      <c r="F126">
        <v>8</v>
      </c>
      <c r="G126">
        <v>1</v>
      </c>
      <c r="H126" s="1">
        <v>13.4</v>
      </c>
      <c r="I126" s="1">
        <v>56.2</v>
      </c>
      <c r="J126" s="1">
        <v>29.5</v>
      </c>
      <c r="K126" s="1">
        <v>6.33</v>
      </c>
      <c r="L126" s="34">
        <f t="shared" si="9"/>
        <v>186.73500000000001</v>
      </c>
      <c r="M126" s="55">
        <v>45922.539525462962</v>
      </c>
      <c r="N126" s="1">
        <v>15.11</v>
      </c>
      <c r="O126" s="1">
        <v>19.5</v>
      </c>
      <c r="P126" s="1">
        <v>58.3</v>
      </c>
      <c r="Q126" s="56">
        <f t="shared" si="10"/>
        <v>3224.3324765041366</v>
      </c>
      <c r="R126" s="34">
        <f t="shared" si="11"/>
        <v>64.48664953008273</v>
      </c>
      <c r="V126" s="55">
        <v>45922.645046296297</v>
      </c>
      <c r="W126">
        <v>9</v>
      </c>
      <c r="X126">
        <v>4</v>
      </c>
      <c r="Y126">
        <v>124</v>
      </c>
      <c r="Z126">
        <v>19.68</v>
      </c>
      <c r="AA126">
        <v>15.8</v>
      </c>
      <c r="AB126">
        <v>57</v>
      </c>
      <c r="AC126">
        <v>56</v>
      </c>
    </row>
    <row r="127" spans="1:29" x14ac:dyDescent="0.25">
      <c r="A127" s="5" t="s">
        <v>54</v>
      </c>
      <c r="B127" s="5" t="s">
        <v>57</v>
      </c>
      <c r="C127" s="1">
        <v>16</v>
      </c>
      <c r="D127" s="1">
        <v>129</v>
      </c>
      <c r="E127" s="1">
        <v>7</v>
      </c>
      <c r="F127">
        <v>10</v>
      </c>
      <c r="G127">
        <v>7</v>
      </c>
      <c r="H127" s="1">
        <v>13</v>
      </c>
      <c r="I127" s="1">
        <v>56.5</v>
      </c>
      <c r="J127" s="1">
        <v>29.5</v>
      </c>
      <c r="K127" s="1">
        <v>6.33</v>
      </c>
      <c r="L127" s="34">
        <f t="shared" si="9"/>
        <v>186.73500000000001</v>
      </c>
      <c r="M127" s="55">
        <v>45922.619814814818</v>
      </c>
      <c r="N127" s="1">
        <v>21.67</v>
      </c>
      <c r="O127" s="1">
        <v>15.3</v>
      </c>
      <c r="P127" s="1">
        <v>58.4</v>
      </c>
      <c r="Q127" s="56">
        <f t="shared" si="10"/>
        <v>4865.4363402682948</v>
      </c>
      <c r="R127" s="34">
        <f t="shared" si="11"/>
        <v>97.308726805365893</v>
      </c>
      <c r="V127" s="55">
        <v>45922.656307870369</v>
      </c>
      <c r="W127">
        <v>9</v>
      </c>
      <c r="X127">
        <v>5</v>
      </c>
      <c r="Y127">
        <v>125</v>
      </c>
      <c r="Z127">
        <v>22.85</v>
      </c>
      <c r="AA127">
        <v>17.7</v>
      </c>
      <c r="AB127">
        <v>58.5</v>
      </c>
      <c r="AC127">
        <v>73</v>
      </c>
    </row>
    <row r="128" spans="1:29" x14ac:dyDescent="0.25">
      <c r="A128" s="5" t="s">
        <v>54</v>
      </c>
      <c r="B128" s="5" t="s">
        <v>57</v>
      </c>
      <c r="C128" s="1">
        <v>16</v>
      </c>
      <c r="D128" s="1">
        <v>55</v>
      </c>
      <c r="E128" s="1">
        <v>3</v>
      </c>
      <c r="F128">
        <v>11</v>
      </c>
      <c r="G128">
        <v>5</v>
      </c>
      <c r="H128" s="1">
        <v>12.4</v>
      </c>
      <c r="I128" s="1">
        <v>56</v>
      </c>
      <c r="J128" s="1">
        <v>29.5</v>
      </c>
      <c r="K128" s="1">
        <v>6.33</v>
      </c>
      <c r="L128" s="34">
        <f t="shared" si="9"/>
        <v>186.73500000000001</v>
      </c>
      <c r="M128" s="55">
        <v>45922.59097222222</v>
      </c>
      <c r="N128" s="1">
        <v>20.3</v>
      </c>
      <c r="O128" s="1">
        <v>15.3</v>
      </c>
      <c r="P128" s="1">
        <v>58.7</v>
      </c>
      <c r="Q128" s="56">
        <f t="shared" si="10"/>
        <v>4557.8383805928188</v>
      </c>
      <c r="R128" s="34">
        <f t="shared" si="11"/>
        <v>91.156767611856381</v>
      </c>
      <c r="V128" s="55">
        <v>45922.656921296293</v>
      </c>
      <c r="W128">
        <v>10</v>
      </c>
      <c r="X128">
        <v>5</v>
      </c>
      <c r="Y128">
        <v>126</v>
      </c>
      <c r="Z128">
        <v>18.07</v>
      </c>
      <c r="AA128">
        <v>13.9</v>
      </c>
      <c r="AB128">
        <v>57.7</v>
      </c>
      <c r="AC128">
        <v>74</v>
      </c>
    </row>
    <row r="129" spans="1:29" x14ac:dyDescent="0.25">
      <c r="A129" s="5" t="s">
        <v>54</v>
      </c>
      <c r="B129" s="5" t="s">
        <v>57</v>
      </c>
      <c r="C129" s="1">
        <v>16</v>
      </c>
      <c r="D129" s="1">
        <v>146</v>
      </c>
      <c r="E129" s="1">
        <v>8</v>
      </c>
      <c r="F129">
        <v>14</v>
      </c>
      <c r="G129">
        <v>10</v>
      </c>
      <c r="H129" s="1">
        <v>12.3</v>
      </c>
      <c r="I129" s="1">
        <v>55.7</v>
      </c>
      <c r="J129" s="1">
        <v>29.5</v>
      </c>
      <c r="K129" s="1">
        <v>6.33</v>
      </c>
      <c r="L129" s="34">
        <f t="shared" si="9"/>
        <v>186.73500000000001</v>
      </c>
      <c r="M129" s="55">
        <v>45922.659259259257</v>
      </c>
      <c r="N129" s="1">
        <v>21.22</v>
      </c>
      <c r="O129" s="1">
        <v>15.7</v>
      </c>
      <c r="P129" s="1">
        <v>58.3</v>
      </c>
      <c r="Q129" s="56">
        <f t="shared" si="10"/>
        <v>4741.9003936059116</v>
      </c>
      <c r="R129" s="34">
        <f t="shared" si="11"/>
        <v>94.838007872118226</v>
      </c>
      <c r="V129" s="55">
        <v>45922.644247685188</v>
      </c>
      <c r="W129">
        <v>10</v>
      </c>
      <c r="X129">
        <v>4</v>
      </c>
      <c r="Y129">
        <v>127</v>
      </c>
      <c r="Z129">
        <v>18.920000000000002</v>
      </c>
      <c r="AA129">
        <v>15.1</v>
      </c>
      <c r="AB129">
        <v>57.9</v>
      </c>
      <c r="AC129">
        <v>55</v>
      </c>
    </row>
    <row r="130" spans="1:29" x14ac:dyDescent="0.25">
      <c r="A130" s="5" t="s">
        <v>54</v>
      </c>
      <c r="B130" s="5" t="s">
        <v>57</v>
      </c>
      <c r="C130" s="1">
        <v>16</v>
      </c>
      <c r="D130" s="1">
        <v>77</v>
      </c>
      <c r="E130" s="1">
        <v>4</v>
      </c>
      <c r="F130">
        <v>16</v>
      </c>
      <c r="G130">
        <v>4</v>
      </c>
      <c r="H130" s="1">
        <v>12.9</v>
      </c>
      <c r="I130" s="1">
        <v>55.8</v>
      </c>
      <c r="J130" s="1">
        <v>29.5</v>
      </c>
      <c r="K130" s="1">
        <v>6.33</v>
      </c>
      <c r="L130" s="34">
        <f t="shared" si="9"/>
        <v>186.73500000000001</v>
      </c>
      <c r="M130" s="55">
        <v>45922.569097222222</v>
      </c>
      <c r="N130" s="1">
        <v>19.940000000000001</v>
      </c>
      <c r="O130" s="1">
        <v>14.6</v>
      </c>
      <c r="P130" s="1">
        <v>58</v>
      </c>
      <c r="Q130" s="56">
        <f t="shared" si="10"/>
        <v>4514.0097999839345</v>
      </c>
      <c r="R130" s="34">
        <f t="shared" si="11"/>
        <v>90.280195999678696</v>
      </c>
      <c r="V130" s="55">
        <v>45922.634965277779</v>
      </c>
      <c r="W130">
        <v>10</v>
      </c>
      <c r="X130">
        <v>3</v>
      </c>
      <c r="Y130">
        <v>128</v>
      </c>
      <c r="Z130">
        <v>17.32</v>
      </c>
      <c r="AA130">
        <v>16.5</v>
      </c>
      <c r="AB130">
        <v>57.8</v>
      </c>
      <c r="AC130">
        <v>42</v>
      </c>
    </row>
    <row r="131" spans="1:29" x14ac:dyDescent="0.25">
      <c r="A131" s="5" t="s">
        <v>54</v>
      </c>
      <c r="B131" s="5" t="s">
        <v>61</v>
      </c>
      <c r="C131" s="1">
        <v>17</v>
      </c>
      <c r="D131" s="1">
        <v>10</v>
      </c>
      <c r="E131" s="1">
        <v>1</v>
      </c>
      <c r="F131">
        <v>2</v>
      </c>
      <c r="G131">
        <v>1</v>
      </c>
      <c r="H131" s="1">
        <v>12.6</v>
      </c>
      <c r="I131" s="1">
        <v>57</v>
      </c>
      <c r="J131" s="1">
        <v>29.5</v>
      </c>
      <c r="K131" s="1">
        <v>6.33</v>
      </c>
      <c r="L131" s="34">
        <f t="shared" ref="L131:L162" si="12">J131*K131</f>
        <v>186.73500000000001</v>
      </c>
      <c r="M131" s="55">
        <v>45922.530682870369</v>
      </c>
      <c r="N131" s="1">
        <v>16.13</v>
      </c>
      <c r="O131" s="1">
        <v>15.7</v>
      </c>
      <c r="P131" s="1">
        <v>58.3</v>
      </c>
      <c r="Q131" s="56">
        <f t="shared" ref="Q131:Q162" si="13">((43560/L131)*(N131)*((100-O131)/88))</f>
        <v>3604.4699975901672</v>
      </c>
      <c r="R131" s="34">
        <f t="shared" ref="R131:R162" si="14">Q131/50</f>
        <v>72.089399951803344</v>
      </c>
      <c r="V131" s="55">
        <v>45922.619814814818</v>
      </c>
      <c r="W131">
        <v>10</v>
      </c>
      <c r="X131">
        <v>2</v>
      </c>
      <c r="Y131">
        <v>129</v>
      </c>
      <c r="Z131">
        <v>21.67</v>
      </c>
      <c r="AA131">
        <v>15.3</v>
      </c>
      <c r="AB131">
        <v>58.4</v>
      </c>
      <c r="AC131">
        <v>23</v>
      </c>
    </row>
    <row r="132" spans="1:29" x14ac:dyDescent="0.25">
      <c r="A132" s="5" t="s">
        <v>54</v>
      </c>
      <c r="B132" s="5" t="s">
        <v>61</v>
      </c>
      <c r="C132" s="1">
        <v>17</v>
      </c>
      <c r="D132" s="1">
        <v>93</v>
      </c>
      <c r="E132" s="1">
        <v>5</v>
      </c>
      <c r="F132">
        <v>3</v>
      </c>
      <c r="G132">
        <v>8</v>
      </c>
      <c r="H132" s="1">
        <v>12.2</v>
      </c>
      <c r="I132" s="1">
        <v>56.7</v>
      </c>
      <c r="J132" s="1">
        <v>29.5</v>
      </c>
      <c r="K132" s="1">
        <v>6.33</v>
      </c>
      <c r="L132" s="34">
        <f t="shared" si="12"/>
        <v>186.73500000000001</v>
      </c>
      <c r="M132" s="55">
        <v>45922.629942129628</v>
      </c>
      <c r="N132" s="1">
        <v>16.829999999999998</v>
      </c>
      <c r="O132" s="1">
        <v>14.1</v>
      </c>
      <c r="P132" s="1">
        <v>58.4</v>
      </c>
      <c r="Q132" s="56">
        <f t="shared" si="13"/>
        <v>3832.2757651216962</v>
      </c>
      <c r="R132" s="34">
        <f t="shared" si="14"/>
        <v>76.645515302433921</v>
      </c>
      <c r="V132" s="55">
        <v>45922.610636574071</v>
      </c>
      <c r="W132">
        <v>10</v>
      </c>
      <c r="X132">
        <v>1</v>
      </c>
      <c r="Y132">
        <v>130</v>
      </c>
      <c r="Z132">
        <v>23.19</v>
      </c>
      <c r="AA132">
        <v>14.5</v>
      </c>
      <c r="AB132">
        <v>55.8</v>
      </c>
      <c r="AC132">
        <v>10</v>
      </c>
    </row>
    <row r="133" spans="1:29" x14ac:dyDescent="0.25">
      <c r="A133" s="5" t="s">
        <v>54</v>
      </c>
      <c r="B133" s="5" t="s">
        <v>61</v>
      </c>
      <c r="C133" s="1">
        <v>17</v>
      </c>
      <c r="D133" s="1">
        <v>102</v>
      </c>
      <c r="E133" s="1">
        <v>6</v>
      </c>
      <c r="F133">
        <v>5</v>
      </c>
      <c r="G133">
        <v>7</v>
      </c>
      <c r="H133" s="1">
        <v>12.3</v>
      </c>
      <c r="I133" s="1">
        <v>57.2</v>
      </c>
      <c r="J133" s="1">
        <v>29.5</v>
      </c>
      <c r="K133" s="1">
        <v>6.33</v>
      </c>
      <c r="L133" s="34">
        <f t="shared" si="12"/>
        <v>186.73500000000001</v>
      </c>
      <c r="M133" s="55">
        <v>45922.622986111113</v>
      </c>
      <c r="N133" s="1">
        <v>19.18</v>
      </c>
      <c r="O133" s="1">
        <v>13.6</v>
      </c>
      <c r="P133" s="1">
        <v>58.2</v>
      </c>
      <c r="Q133" s="56">
        <f t="shared" si="13"/>
        <v>4392.8039199935738</v>
      </c>
      <c r="R133" s="34">
        <f t="shared" si="14"/>
        <v>87.856078399871478</v>
      </c>
      <c r="V133" s="55">
        <v>45922.611307870371</v>
      </c>
      <c r="W133">
        <v>11</v>
      </c>
      <c r="X133">
        <v>1</v>
      </c>
      <c r="Y133">
        <v>131</v>
      </c>
      <c r="Z133">
        <v>17.7</v>
      </c>
      <c r="AA133">
        <v>14.4</v>
      </c>
      <c r="AB133">
        <v>58</v>
      </c>
      <c r="AC133">
        <v>11</v>
      </c>
    </row>
    <row r="134" spans="1:29" x14ac:dyDescent="0.25">
      <c r="A134" s="5" t="s">
        <v>54</v>
      </c>
      <c r="B134" s="5" t="s">
        <v>61</v>
      </c>
      <c r="C134" s="1">
        <v>17</v>
      </c>
      <c r="D134" s="1">
        <v>26</v>
      </c>
      <c r="E134" s="1">
        <v>2</v>
      </c>
      <c r="F134">
        <v>6</v>
      </c>
      <c r="G134">
        <v>5</v>
      </c>
      <c r="H134" s="1">
        <v>12.4</v>
      </c>
      <c r="I134" s="1">
        <v>56.4</v>
      </c>
      <c r="J134" s="1">
        <v>29.5</v>
      </c>
      <c r="K134" s="1">
        <v>6.33</v>
      </c>
      <c r="L134" s="34">
        <f t="shared" si="12"/>
        <v>186.73500000000001</v>
      </c>
      <c r="M134" s="55">
        <v>45922.58761574074</v>
      </c>
      <c r="N134" s="1">
        <v>19.239999999999998</v>
      </c>
      <c r="O134" s="1">
        <v>14.1</v>
      </c>
      <c r="P134" s="1">
        <v>58.3</v>
      </c>
      <c r="Q134" s="56">
        <f t="shared" si="13"/>
        <v>4381.0449032050756</v>
      </c>
      <c r="R134" s="34">
        <f t="shared" si="14"/>
        <v>87.62089806410151</v>
      </c>
      <c r="V134" s="55">
        <v>45922.619189814817</v>
      </c>
      <c r="W134">
        <v>11</v>
      </c>
      <c r="X134">
        <v>2</v>
      </c>
      <c r="Y134">
        <v>132</v>
      </c>
      <c r="Z134">
        <v>21.07</v>
      </c>
      <c r="AA134">
        <v>15.6</v>
      </c>
      <c r="AB134">
        <v>58</v>
      </c>
      <c r="AC134">
        <v>22</v>
      </c>
    </row>
    <row r="135" spans="1:29" x14ac:dyDescent="0.25">
      <c r="A135" s="5" t="s">
        <v>54</v>
      </c>
      <c r="B135" s="5" t="s">
        <v>61</v>
      </c>
      <c r="C135" s="1">
        <v>17</v>
      </c>
      <c r="D135" s="1">
        <v>53</v>
      </c>
      <c r="E135" s="1">
        <v>3</v>
      </c>
      <c r="F135">
        <v>11</v>
      </c>
      <c r="G135">
        <v>3</v>
      </c>
      <c r="H135" s="1">
        <v>12.4</v>
      </c>
      <c r="I135" s="1">
        <v>55.9</v>
      </c>
      <c r="J135" s="1">
        <v>29.5</v>
      </c>
      <c r="K135" s="1">
        <v>6.33</v>
      </c>
      <c r="L135" s="34">
        <f t="shared" si="12"/>
        <v>186.73500000000001</v>
      </c>
      <c r="M135" s="55">
        <v>45922.565081018518</v>
      </c>
      <c r="N135" s="1">
        <v>19.510000000000002</v>
      </c>
      <c r="O135" s="1">
        <v>15</v>
      </c>
      <c r="P135" s="1">
        <v>57.6</v>
      </c>
      <c r="Q135" s="56">
        <f t="shared" si="13"/>
        <v>4395.9795967547598</v>
      </c>
      <c r="R135" s="34">
        <f t="shared" si="14"/>
        <v>87.919591935095198</v>
      </c>
      <c r="V135" s="55">
        <v>45922.636562500003</v>
      </c>
      <c r="W135">
        <v>11</v>
      </c>
      <c r="X135">
        <v>3</v>
      </c>
      <c r="Y135">
        <v>133</v>
      </c>
      <c r="Z135">
        <v>22.08</v>
      </c>
      <c r="AA135">
        <v>17</v>
      </c>
      <c r="AB135">
        <v>58.6</v>
      </c>
      <c r="AC135">
        <v>43</v>
      </c>
    </row>
    <row r="136" spans="1:29" x14ac:dyDescent="0.25">
      <c r="A136" s="5" t="s">
        <v>54</v>
      </c>
      <c r="B136" s="5" t="s">
        <v>61</v>
      </c>
      <c r="C136" s="1">
        <v>17</v>
      </c>
      <c r="D136" s="1">
        <v>136</v>
      </c>
      <c r="E136" s="1">
        <v>7</v>
      </c>
      <c r="F136">
        <v>12</v>
      </c>
      <c r="G136">
        <v>10</v>
      </c>
      <c r="H136" s="1">
        <v>12.8</v>
      </c>
      <c r="I136" s="1">
        <v>56.7</v>
      </c>
      <c r="J136" s="1">
        <v>29.5</v>
      </c>
      <c r="K136" s="1">
        <v>6.33</v>
      </c>
      <c r="L136" s="34">
        <f t="shared" si="12"/>
        <v>186.73500000000001</v>
      </c>
      <c r="M136" s="55">
        <v>45922.658090277779</v>
      </c>
      <c r="N136" s="1">
        <v>18.12</v>
      </c>
      <c r="O136" s="1">
        <v>15.5</v>
      </c>
      <c r="P136" s="1">
        <v>58.4</v>
      </c>
      <c r="Q136" s="56">
        <f t="shared" si="13"/>
        <v>4058.7693790665921</v>
      </c>
      <c r="R136" s="34">
        <f t="shared" si="14"/>
        <v>81.175387581331847</v>
      </c>
      <c r="V136" s="55">
        <v>45922.643657407411</v>
      </c>
      <c r="W136">
        <v>11</v>
      </c>
      <c r="X136">
        <v>4</v>
      </c>
      <c r="Y136">
        <v>134</v>
      </c>
      <c r="Z136">
        <v>20.69</v>
      </c>
      <c r="AA136">
        <v>17.2</v>
      </c>
      <c r="AB136">
        <v>58.8</v>
      </c>
      <c r="AC136">
        <v>54</v>
      </c>
    </row>
    <row r="137" spans="1:29" x14ac:dyDescent="0.25">
      <c r="A137" s="5" t="s">
        <v>54</v>
      </c>
      <c r="B137" s="5" t="s">
        <v>61</v>
      </c>
      <c r="C137" s="1">
        <v>17</v>
      </c>
      <c r="D137" s="1">
        <v>144</v>
      </c>
      <c r="E137" s="1">
        <v>8</v>
      </c>
      <c r="F137">
        <v>13</v>
      </c>
      <c r="G137">
        <v>9</v>
      </c>
      <c r="H137" s="1">
        <v>12.5</v>
      </c>
      <c r="I137" s="1">
        <v>56.8</v>
      </c>
      <c r="J137" s="1">
        <v>29.5</v>
      </c>
      <c r="K137" s="1">
        <v>6.33</v>
      </c>
      <c r="L137" s="34">
        <f t="shared" si="12"/>
        <v>186.73500000000001</v>
      </c>
      <c r="M137" s="55">
        <v>45922.642500000002</v>
      </c>
      <c r="N137" s="1">
        <v>19.82</v>
      </c>
      <c r="O137" s="1">
        <v>14.9</v>
      </c>
      <c r="P137" s="1">
        <v>58.3</v>
      </c>
      <c r="Q137" s="56">
        <f t="shared" si="13"/>
        <v>4471.0824965860711</v>
      </c>
      <c r="R137" s="34">
        <f t="shared" si="14"/>
        <v>89.421649931721419</v>
      </c>
      <c r="V137" s="55">
        <v>45922.657511574071</v>
      </c>
      <c r="W137">
        <v>11</v>
      </c>
      <c r="X137">
        <v>5</v>
      </c>
      <c r="Y137">
        <v>135</v>
      </c>
      <c r="Z137">
        <v>20.21</v>
      </c>
      <c r="AA137">
        <v>15</v>
      </c>
      <c r="AB137">
        <v>58</v>
      </c>
      <c r="AC137">
        <v>75</v>
      </c>
    </row>
    <row r="138" spans="1:29" x14ac:dyDescent="0.25">
      <c r="A138" s="5" t="s">
        <v>54</v>
      </c>
      <c r="B138" s="5" t="s">
        <v>61</v>
      </c>
      <c r="C138" s="1">
        <v>17</v>
      </c>
      <c r="D138" s="1">
        <v>67</v>
      </c>
      <c r="E138" s="1">
        <v>4</v>
      </c>
      <c r="F138">
        <v>14</v>
      </c>
      <c r="G138">
        <v>4</v>
      </c>
      <c r="H138" s="1">
        <v>12.8</v>
      </c>
      <c r="I138" s="1">
        <v>56.5</v>
      </c>
      <c r="J138" s="1">
        <v>29.5</v>
      </c>
      <c r="K138" s="1">
        <v>6.33</v>
      </c>
      <c r="L138" s="34">
        <f t="shared" si="12"/>
        <v>186.73500000000001</v>
      </c>
      <c r="M138" s="55">
        <v>45922.570393518516</v>
      </c>
      <c r="N138" s="1">
        <v>18.68</v>
      </c>
      <c r="O138" s="1">
        <v>14.6</v>
      </c>
      <c r="P138" s="1">
        <v>57.8</v>
      </c>
      <c r="Q138" s="56">
        <f t="shared" si="13"/>
        <v>4228.7714675877578</v>
      </c>
      <c r="R138" s="34">
        <f t="shared" si="14"/>
        <v>84.575429351755162</v>
      </c>
      <c r="V138" s="55">
        <v>45922.658090277779</v>
      </c>
      <c r="W138">
        <v>12</v>
      </c>
      <c r="X138">
        <v>5</v>
      </c>
      <c r="Y138">
        <v>136</v>
      </c>
      <c r="Z138">
        <v>18.12</v>
      </c>
      <c r="AA138">
        <v>15.5</v>
      </c>
      <c r="AB138">
        <v>58.4</v>
      </c>
      <c r="AC138">
        <v>76</v>
      </c>
    </row>
    <row r="139" spans="1:29" x14ac:dyDescent="0.25">
      <c r="A139" s="5" t="s">
        <v>54</v>
      </c>
      <c r="B139" s="5" t="s">
        <v>65</v>
      </c>
      <c r="C139" s="1">
        <v>18</v>
      </c>
      <c r="D139" s="1">
        <v>92</v>
      </c>
      <c r="E139" s="1">
        <v>5</v>
      </c>
      <c r="F139">
        <v>3</v>
      </c>
      <c r="G139">
        <v>7</v>
      </c>
      <c r="H139" s="1">
        <v>12.8</v>
      </c>
      <c r="I139" s="1">
        <v>56.9</v>
      </c>
      <c r="J139" s="1">
        <v>29.5</v>
      </c>
      <c r="K139" s="1">
        <v>6.33</v>
      </c>
      <c r="L139" s="34">
        <f t="shared" si="12"/>
        <v>186.73500000000001</v>
      </c>
      <c r="M139" s="55">
        <v>45922.624155092592</v>
      </c>
      <c r="N139" s="1">
        <v>20.84</v>
      </c>
      <c r="O139" s="1">
        <v>15</v>
      </c>
      <c r="P139" s="1">
        <v>58.3</v>
      </c>
      <c r="Q139" s="56">
        <f t="shared" si="13"/>
        <v>4695.6542694192303</v>
      </c>
      <c r="R139" s="34">
        <f t="shared" si="14"/>
        <v>93.913085388384602</v>
      </c>
      <c r="V139" s="55">
        <v>45922.643055555556</v>
      </c>
      <c r="W139">
        <v>12</v>
      </c>
      <c r="X139">
        <v>4</v>
      </c>
      <c r="Y139">
        <v>137</v>
      </c>
      <c r="Z139">
        <v>17</v>
      </c>
      <c r="AA139">
        <v>16.899999999999999</v>
      </c>
      <c r="AB139">
        <v>58.5</v>
      </c>
      <c r="AC139">
        <v>53</v>
      </c>
    </row>
    <row r="140" spans="1:29" x14ac:dyDescent="0.25">
      <c r="A140" s="5" t="s">
        <v>54</v>
      </c>
      <c r="B140" s="5" t="s">
        <v>65</v>
      </c>
      <c r="C140" s="1">
        <v>18</v>
      </c>
      <c r="D140" s="1">
        <v>20</v>
      </c>
      <c r="E140" s="1">
        <v>1</v>
      </c>
      <c r="F140">
        <v>4</v>
      </c>
      <c r="G140">
        <v>1</v>
      </c>
      <c r="H140" s="1">
        <v>12.5</v>
      </c>
      <c r="I140" s="1">
        <v>56.8</v>
      </c>
      <c r="J140" s="1">
        <v>29.5</v>
      </c>
      <c r="K140" s="1">
        <v>6.33</v>
      </c>
      <c r="L140" s="34">
        <f t="shared" si="12"/>
        <v>186.73500000000001</v>
      </c>
      <c r="M140" s="55">
        <v>45922.532199074078</v>
      </c>
      <c r="N140" s="1">
        <v>17.97</v>
      </c>
      <c r="O140" s="1">
        <v>14.8</v>
      </c>
      <c r="P140" s="1">
        <v>58</v>
      </c>
      <c r="Q140" s="56">
        <f t="shared" si="13"/>
        <v>4058.5149007952446</v>
      </c>
      <c r="R140" s="34">
        <f t="shared" si="14"/>
        <v>81.170298015904891</v>
      </c>
      <c r="V140" s="55">
        <v>45922.637187499997</v>
      </c>
      <c r="W140">
        <v>12</v>
      </c>
      <c r="X140">
        <v>3</v>
      </c>
      <c r="Y140">
        <v>138</v>
      </c>
      <c r="Z140">
        <v>20.7</v>
      </c>
      <c r="AA140">
        <v>17.600000000000001</v>
      </c>
      <c r="AB140">
        <v>58.7</v>
      </c>
      <c r="AC140">
        <v>44</v>
      </c>
    </row>
    <row r="141" spans="1:29" x14ac:dyDescent="0.25">
      <c r="A141" s="5" t="s">
        <v>54</v>
      </c>
      <c r="B141" s="5" t="s">
        <v>65</v>
      </c>
      <c r="C141" s="1">
        <v>18</v>
      </c>
      <c r="D141" s="1">
        <v>25</v>
      </c>
      <c r="E141" s="1">
        <v>2</v>
      </c>
      <c r="F141">
        <v>5</v>
      </c>
      <c r="G141">
        <v>5</v>
      </c>
      <c r="H141" s="1">
        <v>12.6</v>
      </c>
      <c r="I141" s="1">
        <v>56.9</v>
      </c>
      <c r="J141" s="1">
        <v>29.5</v>
      </c>
      <c r="K141" s="1">
        <v>6.33</v>
      </c>
      <c r="L141" s="34">
        <f t="shared" si="12"/>
        <v>186.73500000000001</v>
      </c>
      <c r="M141" s="55">
        <v>45922.586712962962</v>
      </c>
      <c r="N141" s="1">
        <v>23.91</v>
      </c>
      <c r="O141" s="1">
        <v>15.9</v>
      </c>
      <c r="P141" s="1">
        <v>58.5</v>
      </c>
      <c r="Q141" s="56">
        <f t="shared" si="13"/>
        <v>5330.3416338661737</v>
      </c>
      <c r="R141" s="34">
        <f t="shared" si="14"/>
        <v>106.60683267732347</v>
      </c>
      <c r="V141" s="55">
        <v>45922.618530092594</v>
      </c>
      <c r="W141">
        <v>12</v>
      </c>
      <c r="X141">
        <v>2</v>
      </c>
      <c r="Y141">
        <v>139</v>
      </c>
      <c r="Z141">
        <v>19.329999999999998</v>
      </c>
      <c r="AA141">
        <v>13.7</v>
      </c>
      <c r="AB141">
        <v>57.8</v>
      </c>
      <c r="AC141">
        <v>21</v>
      </c>
    </row>
    <row r="142" spans="1:29" x14ac:dyDescent="0.25">
      <c r="A142" s="5" t="s">
        <v>54</v>
      </c>
      <c r="B142" s="5" t="s">
        <v>65</v>
      </c>
      <c r="C142" s="1">
        <v>18</v>
      </c>
      <c r="D142" s="1">
        <v>111</v>
      </c>
      <c r="E142" s="1">
        <v>6</v>
      </c>
      <c r="F142">
        <v>7</v>
      </c>
      <c r="G142">
        <v>6</v>
      </c>
      <c r="H142" s="1">
        <v>13</v>
      </c>
      <c r="I142" s="1">
        <v>57.6</v>
      </c>
      <c r="J142" s="1">
        <v>29.5</v>
      </c>
      <c r="K142" s="1">
        <v>6.33</v>
      </c>
      <c r="L142" s="34">
        <f t="shared" si="12"/>
        <v>186.73500000000001</v>
      </c>
      <c r="M142" s="55">
        <v>45922.608749999999</v>
      </c>
      <c r="N142" s="1">
        <v>24.04</v>
      </c>
      <c r="O142" s="1">
        <v>16</v>
      </c>
      <c r="P142" s="1">
        <v>57.8</v>
      </c>
      <c r="Q142" s="56">
        <f t="shared" si="13"/>
        <v>5352.9504377861676</v>
      </c>
      <c r="R142" s="34">
        <f t="shared" si="14"/>
        <v>107.05900875572335</v>
      </c>
      <c r="V142" s="55">
        <v>45922.612071759257</v>
      </c>
      <c r="W142">
        <v>12</v>
      </c>
      <c r="X142">
        <v>1</v>
      </c>
      <c r="Y142">
        <v>140</v>
      </c>
      <c r="Z142">
        <v>16.37</v>
      </c>
      <c r="AA142">
        <v>13.7</v>
      </c>
      <c r="AB142">
        <v>58</v>
      </c>
      <c r="AC142">
        <v>12</v>
      </c>
    </row>
    <row r="143" spans="1:29" x14ac:dyDescent="0.25">
      <c r="A143" s="5" t="s">
        <v>54</v>
      </c>
      <c r="B143" s="5" t="s">
        <v>65</v>
      </c>
      <c r="C143" s="1">
        <v>18</v>
      </c>
      <c r="D143" s="1">
        <v>48</v>
      </c>
      <c r="E143" s="1">
        <v>3</v>
      </c>
      <c r="F143">
        <v>10</v>
      </c>
      <c r="G143">
        <v>3</v>
      </c>
      <c r="H143" s="1">
        <v>13</v>
      </c>
      <c r="I143" s="1">
        <v>56.4</v>
      </c>
      <c r="J143" s="1">
        <v>29.5</v>
      </c>
      <c r="K143" s="1">
        <v>6.33</v>
      </c>
      <c r="L143" s="34">
        <f t="shared" si="12"/>
        <v>186.73500000000001</v>
      </c>
      <c r="M143" s="55">
        <v>45922.564432870371</v>
      </c>
      <c r="N143" s="1">
        <v>23.38</v>
      </c>
      <c r="O143" s="1">
        <v>17</v>
      </c>
      <c r="P143" s="1">
        <v>58</v>
      </c>
      <c r="Q143" s="56">
        <f t="shared" si="13"/>
        <v>5144.0131737488955</v>
      </c>
      <c r="R143" s="34">
        <f t="shared" si="14"/>
        <v>102.88026347497791</v>
      </c>
      <c r="V143" s="55">
        <v>45922.613287037035</v>
      </c>
      <c r="W143">
        <v>13</v>
      </c>
      <c r="X143">
        <v>1</v>
      </c>
      <c r="Y143">
        <v>141</v>
      </c>
      <c r="Z143">
        <v>22.92</v>
      </c>
      <c r="AA143">
        <v>17.2</v>
      </c>
      <c r="AB143">
        <v>59.1</v>
      </c>
      <c r="AC143">
        <v>13</v>
      </c>
    </row>
    <row r="144" spans="1:29" x14ac:dyDescent="0.25">
      <c r="A144" s="5" t="s">
        <v>54</v>
      </c>
      <c r="B144" s="5" t="s">
        <v>65</v>
      </c>
      <c r="C144" s="1">
        <v>18</v>
      </c>
      <c r="D144" s="1">
        <v>133</v>
      </c>
      <c r="E144" s="1">
        <v>7</v>
      </c>
      <c r="F144">
        <v>11</v>
      </c>
      <c r="G144">
        <v>8</v>
      </c>
      <c r="H144" s="1">
        <v>13.3</v>
      </c>
      <c r="I144" s="1">
        <v>57.6</v>
      </c>
      <c r="J144" s="1">
        <v>29.5</v>
      </c>
      <c r="K144" s="1">
        <v>6.33</v>
      </c>
      <c r="L144" s="34">
        <f t="shared" si="12"/>
        <v>186.73500000000001</v>
      </c>
      <c r="M144" s="55">
        <v>45922.636562500003</v>
      </c>
      <c r="N144" s="1">
        <v>22.08</v>
      </c>
      <c r="O144" s="1">
        <v>17</v>
      </c>
      <c r="P144" s="1">
        <v>58.6</v>
      </c>
      <c r="Q144" s="56">
        <f t="shared" si="13"/>
        <v>4857.9902000160655</v>
      </c>
      <c r="R144" s="34">
        <f t="shared" si="14"/>
        <v>97.159804000321316</v>
      </c>
      <c r="V144" s="55">
        <v>45922.617951388886</v>
      </c>
      <c r="W144">
        <v>13</v>
      </c>
      <c r="X144">
        <v>2</v>
      </c>
      <c r="Y144">
        <v>142</v>
      </c>
      <c r="Z144">
        <v>22.48</v>
      </c>
      <c r="AA144">
        <v>16.5</v>
      </c>
      <c r="AB144">
        <v>58.1</v>
      </c>
      <c r="AC144">
        <v>20</v>
      </c>
    </row>
    <row r="145" spans="1:29" x14ac:dyDescent="0.25">
      <c r="A145" s="5" t="s">
        <v>54</v>
      </c>
      <c r="B145" s="5" t="s">
        <v>65</v>
      </c>
      <c r="C145" s="1">
        <v>18</v>
      </c>
      <c r="D145" s="1">
        <v>62</v>
      </c>
      <c r="E145" s="1">
        <v>4</v>
      </c>
      <c r="F145">
        <v>13</v>
      </c>
      <c r="G145">
        <v>2</v>
      </c>
      <c r="H145" s="1">
        <v>14.1</v>
      </c>
      <c r="I145" s="1">
        <v>56.4</v>
      </c>
      <c r="J145" s="1">
        <v>29.5</v>
      </c>
      <c r="K145" s="1">
        <v>6.33</v>
      </c>
      <c r="L145" s="34">
        <f t="shared" si="12"/>
        <v>186.73500000000001</v>
      </c>
      <c r="M145" s="55">
        <v>45922.548819444448</v>
      </c>
      <c r="N145" s="1">
        <v>20.51</v>
      </c>
      <c r="O145" s="1">
        <v>17.2</v>
      </c>
      <c r="P145" s="1">
        <v>58.6</v>
      </c>
      <c r="Q145" s="56">
        <f t="shared" si="13"/>
        <v>4501.6888103462124</v>
      </c>
      <c r="R145" s="34">
        <f t="shared" si="14"/>
        <v>90.033776206924244</v>
      </c>
      <c r="V145" s="55">
        <v>45922.637777777774</v>
      </c>
      <c r="W145">
        <v>13</v>
      </c>
      <c r="X145">
        <v>3</v>
      </c>
      <c r="Y145">
        <v>143</v>
      </c>
      <c r="Z145">
        <v>22.84</v>
      </c>
      <c r="AA145">
        <v>17.3</v>
      </c>
      <c r="AB145">
        <v>58.5</v>
      </c>
      <c r="AC145">
        <v>45</v>
      </c>
    </row>
    <row r="146" spans="1:29" x14ac:dyDescent="0.25">
      <c r="A146" s="5" t="s">
        <v>54</v>
      </c>
      <c r="B146" s="5" t="s">
        <v>65</v>
      </c>
      <c r="C146" s="1">
        <v>18</v>
      </c>
      <c r="D146" s="1">
        <v>154</v>
      </c>
      <c r="E146" s="1">
        <v>8</v>
      </c>
      <c r="F146">
        <v>15</v>
      </c>
      <c r="G146">
        <v>9</v>
      </c>
      <c r="H146" s="1">
        <v>13</v>
      </c>
      <c r="I146" s="1">
        <v>56.5</v>
      </c>
      <c r="J146" s="1">
        <v>29.5</v>
      </c>
      <c r="K146" s="1">
        <v>6.33</v>
      </c>
      <c r="L146" s="34">
        <f t="shared" si="12"/>
        <v>186.73500000000001</v>
      </c>
      <c r="M146" s="55">
        <v>45922.641342592593</v>
      </c>
      <c r="N146" s="1">
        <v>22.3</v>
      </c>
      <c r="O146" s="1">
        <v>14.3</v>
      </c>
      <c r="P146" s="1">
        <v>57.4</v>
      </c>
      <c r="Q146" s="56">
        <f t="shared" si="13"/>
        <v>5065.9996786890515</v>
      </c>
      <c r="R146" s="34">
        <f t="shared" si="14"/>
        <v>101.31999357378103</v>
      </c>
      <c r="V146" s="55">
        <v>45922.642500000002</v>
      </c>
      <c r="W146">
        <v>13</v>
      </c>
      <c r="X146">
        <v>4</v>
      </c>
      <c r="Y146">
        <v>144</v>
      </c>
      <c r="Z146">
        <v>19.82</v>
      </c>
      <c r="AA146">
        <v>14.9</v>
      </c>
      <c r="AB146">
        <v>58.3</v>
      </c>
      <c r="AC146">
        <v>52</v>
      </c>
    </row>
    <row r="147" spans="1:29" x14ac:dyDescent="0.25">
      <c r="A147" s="5" t="s">
        <v>54</v>
      </c>
      <c r="B147" s="5" t="s">
        <v>59</v>
      </c>
      <c r="C147" s="1">
        <v>19</v>
      </c>
      <c r="D147" s="1">
        <v>5</v>
      </c>
      <c r="E147" s="1">
        <v>1</v>
      </c>
      <c r="F147">
        <v>1</v>
      </c>
      <c r="G147">
        <v>5</v>
      </c>
      <c r="H147" s="1">
        <v>13.5</v>
      </c>
      <c r="I147" s="1">
        <v>56.2</v>
      </c>
      <c r="J147" s="1">
        <v>29.5</v>
      </c>
      <c r="K147" s="1">
        <v>6.33</v>
      </c>
      <c r="L147" s="34">
        <f t="shared" si="12"/>
        <v>186.73500000000001</v>
      </c>
      <c r="M147" s="55">
        <v>45922.583136574074</v>
      </c>
      <c r="N147" s="1">
        <v>22.34</v>
      </c>
      <c r="O147" s="1">
        <v>17.7</v>
      </c>
      <c r="P147" s="1">
        <v>58</v>
      </c>
      <c r="Q147" s="56">
        <f t="shared" si="13"/>
        <v>4873.7413446863193</v>
      </c>
      <c r="R147" s="34">
        <f t="shared" si="14"/>
        <v>97.474826893726387</v>
      </c>
      <c r="V147" s="55">
        <v>45922.658703703702</v>
      </c>
      <c r="W147">
        <v>13</v>
      </c>
      <c r="X147">
        <v>5</v>
      </c>
      <c r="Y147">
        <v>145</v>
      </c>
      <c r="Z147">
        <v>21.74</v>
      </c>
      <c r="AA147">
        <v>18.2</v>
      </c>
      <c r="AB147">
        <v>58.3</v>
      </c>
      <c r="AC147">
        <v>77</v>
      </c>
    </row>
    <row r="148" spans="1:29" x14ac:dyDescent="0.25">
      <c r="A148" s="5" t="s">
        <v>54</v>
      </c>
      <c r="B148" s="5" t="s">
        <v>59</v>
      </c>
      <c r="C148" s="1">
        <v>19</v>
      </c>
      <c r="D148" s="1">
        <v>100</v>
      </c>
      <c r="E148" s="1">
        <v>5</v>
      </c>
      <c r="F148">
        <v>4</v>
      </c>
      <c r="G148">
        <v>6</v>
      </c>
      <c r="H148" s="1">
        <v>12.8</v>
      </c>
      <c r="I148" s="1">
        <v>57.2</v>
      </c>
      <c r="J148" s="1">
        <v>29.5</v>
      </c>
      <c r="K148" s="1">
        <v>6.33</v>
      </c>
      <c r="L148" s="34">
        <f t="shared" si="12"/>
        <v>186.73500000000001</v>
      </c>
      <c r="M148" s="55">
        <v>45922.606574074074</v>
      </c>
      <c r="N148" s="1">
        <v>23.51</v>
      </c>
      <c r="O148" s="1">
        <v>16.3</v>
      </c>
      <c r="P148" s="1">
        <v>58.8</v>
      </c>
      <c r="Q148" s="56">
        <f t="shared" si="13"/>
        <v>5216.2399389509201</v>
      </c>
      <c r="R148" s="34">
        <f t="shared" si="14"/>
        <v>104.32479877901841</v>
      </c>
      <c r="V148" s="55">
        <v>45922.659259259257</v>
      </c>
      <c r="W148">
        <v>14</v>
      </c>
      <c r="X148">
        <v>5</v>
      </c>
      <c r="Y148">
        <v>146</v>
      </c>
      <c r="Z148">
        <v>21.22</v>
      </c>
      <c r="AA148">
        <v>15.7</v>
      </c>
      <c r="AB148">
        <v>58.3</v>
      </c>
      <c r="AC148">
        <v>78</v>
      </c>
    </row>
    <row r="149" spans="1:29" x14ac:dyDescent="0.25">
      <c r="A149" s="5" t="s">
        <v>54</v>
      </c>
      <c r="B149" s="5" t="s">
        <v>59</v>
      </c>
      <c r="C149" s="1">
        <v>19</v>
      </c>
      <c r="D149" s="1">
        <v>114</v>
      </c>
      <c r="E149" s="1">
        <v>6</v>
      </c>
      <c r="F149">
        <v>7</v>
      </c>
      <c r="G149">
        <v>9</v>
      </c>
      <c r="H149" s="1">
        <v>12.9</v>
      </c>
      <c r="I149" s="1">
        <v>56.9</v>
      </c>
      <c r="J149" s="1">
        <v>29.5</v>
      </c>
      <c r="K149" s="1">
        <v>6.33</v>
      </c>
      <c r="L149" s="34">
        <f t="shared" si="12"/>
        <v>186.73500000000001</v>
      </c>
      <c r="M149" s="55">
        <v>45922.646296296298</v>
      </c>
      <c r="N149" s="1">
        <v>22.33</v>
      </c>
      <c r="O149" s="1">
        <v>15.4</v>
      </c>
      <c r="P149" s="1">
        <v>58.4</v>
      </c>
      <c r="Q149" s="56">
        <f t="shared" si="13"/>
        <v>5007.7029480279534</v>
      </c>
      <c r="R149" s="34">
        <f t="shared" si="14"/>
        <v>100.15405896055907</v>
      </c>
      <c r="V149" s="55">
        <v>45922.641898148147</v>
      </c>
      <c r="W149">
        <v>14</v>
      </c>
      <c r="X149">
        <v>4</v>
      </c>
      <c r="Y149">
        <v>147</v>
      </c>
      <c r="Z149">
        <v>21.33</v>
      </c>
      <c r="AA149">
        <v>13.7</v>
      </c>
      <c r="AB149">
        <v>57</v>
      </c>
      <c r="AC149">
        <v>51</v>
      </c>
    </row>
    <row r="150" spans="1:29" x14ac:dyDescent="0.25">
      <c r="A150" s="5" t="s">
        <v>54</v>
      </c>
      <c r="B150" s="5" t="s">
        <v>59</v>
      </c>
      <c r="C150" s="1">
        <v>19</v>
      </c>
      <c r="D150" s="1">
        <v>39</v>
      </c>
      <c r="E150" s="1">
        <v>2</v>
      </c>
      <c r="F150">
        <v>8</v>
      </c>
      <c r="G150">
        <v>2</v>
      </c>
      <c r="H150" s="1">
        <v>14</v>
      </c>
      <c r="I150" s="1">
        <v>56.9</v>
      </c>
      <c r="J150" s="1">
        <v>29.5</v>
      </c>
      <c r="K150" s="1">
        <v>6.33</v>
      </c>
      <c r="L150" s="34">
        <f t="shared" si="12"/>
        <v>186.73500000000001</v>
      </c>
      <c r="M150" s="55">
        <v>45922.552210648151</v>
      </c>
      <c r="N150" s="1">
        <v>23.5</v>
      </c>
      <c r="O150" s="1">
        <v>15.8</v>
      </c>
      <c r="P150" s="1">
        <v>58</v>
      </c>
      <c r="Q150" s="56">
        <f t="shared" si="13"/>
        <v>5245.168286609367</v>
      </c>
      <c r="R150" s="34">
        <f t="shared" si="14"/>
        <v>104.90336573218734</v>
      </c>
      <c r="V150" s="55">
        <v>45922.638425925928</v>
      </c>
      <c r="W150">
        <v>14</v>
      </c>
      <c r="X150">
        <v>3</v>
      </c>
      <c r="Y150">
        <v>148</v>
      </c>
      <c r="Z150">
        <v>19.89</v>
      </c>
      <c r="AA150">
        <v>14.2</v>
      </c>
      <c r="AB150">
        <v>57.6</v>
      </c>
      <c r="AC150">
        <v>46</v>
      </c>
    </row>
    <row r="151" spans="1:29" x14ac:dyDescent="0.25">
      <c r="A151" s="5" t="s">
        <v>54</v>
      </c>
      <c r="B151" s="5" t="s">
        <v>59</v>
      </c>
      <c r="C151" s="1">
        <v>19</v>
      </c>
      <c r="D151" s="1">
        <v>51</v>
      </c>
      <c r="E151" s="1">
        <v>3</v>
      </c>
      <c r="F151">
        <v>11</v>
      </c>
      <c r="G151">
        <v>1</v>
      </c>
      <c r="H151" s="1">
        <v>14</v>
      </c>
      <c r="I151" s="1">
        <v>54.4</v>
      </c>
      <c r="J151" s="1">
        <v>29.5</v>
      </c>
      <c r="K151" s="1">
        <v>6.33</v>
      </c>
      <c r="L151" s="34">
        <f t="shared" si="12"/>
        <v>186.73500000000001</v>
      </c>
      <c r="M151" s="55">
        <v>45922.541863425926</v>
      </c>
      <c r="N151" s="1">
        <v>14.7</v>
      </c>
      <c r="O151" s="1">
        <v>19.8</v>
      </c>
      <c r="P151" s="1">
        <v>58.2</v>
      </c>
      <c r="Q151" s="56">
        <f t="shared" si="13"/>
        <v>3125.1522210619323</v>
      </c>
      <c r="R151" s="34">
        <f t="shared" si="14"/>
        <v>62.503044421238648</v>
      </c>
      <c r="V151" s="55">
        <v>45922.617326388892</v>
      </c>
      <c r="W151">
        <v>14</v>
      </c>
      <c r="X151">
        <v>2</v>
      </c>
      <c r="Y151">
        <v>149</v>
      </c>
      <c r="Z151">
        <v>20.440000000000001</v>
      </c>
      <c r="AA151">
        <v>14.1</v>
      </c>
      <c r="AB151">
        <v>57.9</v>
      </c>
      <c r="AC151">
        <v>19</v>
      </c>
    </row>
    <row r="152" spans="1:29" x14ac:dyDescent="0.25">
      <c r="A152" s="5" t="s">
        <v>54</v>
      </c>
      <c r="B152" s="5" t="s">
        <v>59</v>
      </c>
      <c r="C152" s="1">
        <v>19</v>
      </c>
      <c r="D152" s="1">
        <v>138</v>
      </c>
      <c r="E152" s="1">
        <v>7</v>
      </c>
      <c r="F152">
        <v>12</v>
      </c>
      <c r="G152">
        <v>8</v>
      </c>
      <c r="H152" s="1">
        <v>14</v>
      </c>
      <c r="I152" s="1">
        <v>57.2</v>
      </c>
      <c r="J152" s="1">
        <v>29.5</v>
      </c>
      <c r="K152" s="1">
        <v>6.33</v>
      </c>
      <c r="L152" s="34">
        <f t="shared" si="12"/>
        <v>186.73500000000001</v>
      </c>
      <c r="M152" s="55">
        <v>45922.637187499997</v>
      </c>
      <c r="N152" s="1">
        <v>20.7</v>
      </c>
      <c r="O152" s="1">
        <v>17.600000000000001</v>
      </c>
      <c r="P152" s="1">
        <v>58.7</v>
      </c>
      <c r="Q152" s="56">
        <f t="shared" si="13"/>
        <v>4521.4426861595311</v>
      </c>
      <c r="R152" s="34">
        <f t="shared" si="14"/>
        <v>90.428853723190628</v>
      </c>
      <c r="V152" s="55">
        <v>45922.613912037035</v>
      </c>
      <c r="W152">
        <v>14</v>
      </c>
      <c r="X152">
        <v>1</v>
      </c>
      <c r="Y152">
        <v>150</v>
      </c>
      <c r="Z152">
        <v>17.98</v>
      </c>
      <c r="AA152">
        <v>15.3</v>
      </c>
      <c r="AB152">
        <v>58</v>
      </c>
      <c r="AC152">
        <v>14</v>
      </c>
    </row>
    <row r="153" spans="1:29" x14ac:dyDescent="0.25">
      <c r="A153" s="5" t="s">
        <v>54</v>
      </c>
      <c r="B153" s="5" t="s">
        <v>59</v>
      </c>
      <c r="C153" s="1">
        <v>19</v>
      </c>
      <c r="D153" s="1">
        <v>74</v>
      </c>
      <c r="E153" s="1">
        <v>4</v>
      </c>
      <c r="F153">
        <v>15</v>
      </c>
      <c r="G153">
        <v>4</v>
      </c>
      <c r="H153" s="1">
        <v>13.3</v>
      </c>
      <c r="I153" s="1">
        <v>56.6</v>
      </c>
      <c r="J153" s="1">
        <v>29.5</v>
      </c>
      <c r="K153" s="1">
        <v>6.33</v>
      </c>
      <c r="L153" s="34">
        <f t="shared" si="12"/>
        <v>186.73500000000001</v>
      </c>
      <c r="M153" s="55">
        <v>45922.569710648146</v>
      </c>
      <c r="N153" s="1">
        <v>21.38</v>
      </c>
      <c r="O153" s="1">
        <v>15.3</v>
      </c>
      <c r="P153" s="1">
        <v>57.3</v>
      </c>
      <c r="Q153" s="56">
        <f t="shared" si="13"/>
        <v>4800.324363402683</v>
      </c>
      <c r="R153" s="34">
        <f t="shared" si="14"/>
        <v>96.006487268053661</v>
      </c>
      <c r="V153" s="55">
        <v>45922.614618055559</v>
      </c>
      <c r="W153">
        <v>15</v>
      </c>
      <c r="X153">
        <v>1</v>
      </c>
      <c r="Y153">
        <v>151</v>
      </c>
      <c r="Z153">
        <v>18.170000000000002</v>
      </c>
      <c r="AA153">
        <v>14</v>
      </c>
      <c r="AB153">
        <v>57.6</v>
      </c>
      <c r="AC153">
        <v>15</v>
      </c>
    </row>
    <row r="154" spans="1:29" x14ac:dyDescent="0.25">
      <c r="A154" s="5" t="s">
        <v>54</v>
      </c>
      <c r="B154" s="5" t="s">
        <v>59</v>
      </c>
      <c r="C154" s="1">
        <v>19</v>
      </c>
      <c r="D154" s="1">
        <v>159</v>
      </c>
      <c r="E154" s="1">
        <v>8</v>
      </c>
      <c r="F154">
        <v>16</v>
      </c>
      <c r="G154">
        <v>7</v>
      </c>
      <c r="H154" s="1">
        <v>13.3</v>
      </c>
      <c r="I154" s="1">
        <v>56.7</v>
      </c>
      <c r="J154" s="1">
        <v>29.5</v>
      </c>
      <c r="K154" s="1">
        <v>6.33</v>
      </c>
      <c r="L154" s="34">
        <f t="shared" si="12"/>
        <v>186.73500000000001</v>
      </c>
      <c r="M154" s="55">
        <v>45922.616111111114</v>
      </c>
      <c r="N154" s="1">
        <v>20.77</v>
      </c>
      <c r="O154" s="1">
        <v>16.899999999999999</v>
      </c>
      <c r="P154" s="1">
        <v>58.3</v>
      </c>
      <c r="Q154" s="56">
        <f t="shared" si="13"/>
        <v>4575.2727929954208</v>
      </c>
      <c r="R154" s="34">
        <f t="shared" si="14"/>
        <v>91.505455859908409</v>
      </c>
      <c r="V154" s="55">
        <v>45922.616689814815</v>
      </c>
      <c r="W154">
        <v>15</v>
      </c>
      <c r="X154">
        <v>2</v>
      </c>
      <c r="Y154">
        <v>152</v>
      </c>
      <c r="Z154">
        <v>17.760000000000002</v>
      </c>
      <c r="AA154">
        <v>14.1</v>
      </c>
      <c r="AB154">
        <v>57.6</v>
      </c>
      <c r="AC154">
        <v>18</v>
      </c>
    </row>
    <row r="155" spans="1:29" x14ac:dyDescent="0.25">
      <c r="A155" s="5" t="s">
        <v>54</v>
      </c>
      <c r="B155" s="5" t="s">
        <v>64</v>
      </c>
      <c r="C155" s="1">
        <v>20</v>
      </c>
      <c r="D155" s="1">
        <v>89</v>
      </c>
      <c r="E155" s="1">
        <v>5</v>
      </c>
      <c r="F155">
        <v>2</v>
      </c>
      <c r="G155">
        <v>7</v>
      </c>
      <c r="H155" s="1">
        <v>12.3</v>
      </c>
      <c r="I155" s="1">
        <v>56.5</v>
      </c>
      <c r="J155" s="1">
        <v>29.5</v>
      </c>
      <c r="K155" s="1">
        <v>6.33</v>
      </c>
      <c r="L155" s="34">
        <f t="shared" si="12"/>
        <v>186.73500000000001</v>
      </c>
      <c r="M155" s="55">
        <v>45922.624780092592</v>
      </c>
      <c r="N155" s="1">
        <v>18.71</v>
      </c>
      <c r="O155" s="1">
        <v>13.6</v>
      </c>
      <c r="P155" s="1">
        <v>58.1</v>
      </c>
      <c r="Q155" s="56">
        <f t="shared" si="13"/>
        <v>4285.1596112137522</v>
      </c>
      <c r="R155" s="34">
        <f t="shared" si="14"/>
        <v>85.703192224275043</v>
      </c>
      <c r="V155" s="55">
        <v>45922.639131944445</v>
      </c>
      <c r="W155">
        <v>15</v>
      </c>
      <c r="X155">
        <v>3</v>
      </c>
      <c r="Y155">
        <v>153</v>
      </c>
      <c r="Z155">
        <v>21.02</v>
      </c>
      <c r="AA155">
        <v>13.2</v>
      </c>
      <c r="AB155">
        <v>57.4</v>
      </c>
      <c r="AC155">
        <v>47</v>
      </c>
    </row>
    <row r="156" spans="1:29" x14ac:dyDescent="0.25">
      <c r="A156" s="5" t="s">
        <v>54</v>
      </c>
      <c r="B156" s="5" t="s">
        <v>64</v>
      </c>
      <c r="C156" s="1">
        <v>20</v>
      </c>
      <c r="D156" s="1">
        <v>19</v>
      </c>
      <c r="E156" s="1">
        <v>1</v>
      </c>
      <c r="F156">
        <v>4</v>
      </c>
      <c r="G156">
        <v>2</v>
      </c>
      <c r="H156" s="1">
        <v>12.5</v>
      </c>
      <c r="I156" s="1">
        <v>55.5</v>
      </c>
      <c r="J156" s="1">
        <v>29.5</v>
      </c>
      <c r="K156" s="1">
        <v>6.33</v>
      </c>
      <c r="L156" s="34">
        <f t="shared" si="12"/>
        <v>186.73500000000001</v>
      </c>
      <c r="M156" s="55">
        <v>45922.555243055554</v>
      </c>
      <c r="N156" s="1">
        <v>19.2</v>
      </c>
      <c r="O156" s="1">
        <v>13.7</v>
      </c>
      <c r="P156" s="1">
        <v>56.9</v>
      </c>
      <c r="Q156" s="56">
        <f t="shared" si="13"/>
        <v>4392.2949634508786</v>
      </c>
      <c r="R156" s="34">
        <f t="shared" si="14"/>
        <v>87.845899269017579</v>
      </c>
      <c r="V156" s="55">
        <v>45922.641342592593</v>
      </c>
      <c r="W156">
        <v>15</v>
      </c>
      <c r="X156">
        <v>4</v>
      </c>
      <c r="Y156">
        <v>154</v>
      </c>
      <c r="Z156">
        <v>22.3</v>
      </c>
      <c r="AA156">
        <v>14.3</v>
      </c>
      <c r="AB156">
        <v>57.4</v>
      </c>
      <c r="AC156">
        <v>50</v>
      </c>
    </row>
    <row r="157" spans="1:29" x14ac:dyDescent="0.25">
      <c r="A157" s="5" t="s">
        <v>54</v>
      </c>
      <c r="B157" s="5" t="s">
        <v>64</v>
      </c>
      <c r="C157" s="1">
        <v>20</v>
      </c>
      <c r="D157" s="1">
        <v>24</v>
      </c>
      <c r="E157" s="1">
        <v>2</v>
      </c>
      <c r="F157">
        <v>5</v>
      </c>
      <c r="G157">
        <v>4</v>
      </c>
      <c r="H157" s="1">
        <v>12.6</v>
      </c>
      <c r="I157" s="1">
        <v>56.3</v>
      </c>
      <c r="J157" s="1">
        <v>29.5</v>
      </c>
      <c r="K157" s="1">
        <v>6.33</v>
      </c>
      <c r="L157" s="34">
        <f t="shared" si="12"/>
        <v>186.73500000000001</v>
      </c>
      <c r="M157" s="55">
        <v>45922.57675925926</v>
      </c>
      <c r="N157" s="1">
        <v>19.29</v>
      </c>
      <c r="O157" s="1">
        <v>14.3</v>
      </c>
      <c r="P157" s="1">
        <v>58</v>
      </c>
      <c r="Q157" s="56">
        <f t="shared" si="13"/>
        <v>4382.2033095027709</v>
      </c>
      <c r="R157" s="34">
        <f t="shared" si="14"/>
        <v>87.644066190055412</v>
      </c>
      <c r="V157" s="55">
        <v>45922.659861111111</v>
      </c>
      <c r="W157">
        <v>15</v>
      </c>
      <c r="X157">
        <v>5</v>
      </c>
      <c r="Y157">
        <v>155</v>
      </c>
      <c r="Z157">
        <v>19.559999999999999</v>
      </c>
      <c r="AA157">
        <v>15</v>
      </c>
      <c r="AB157">
        <v>58.3</v>
      </c>
      <c r="AC157">
        <v>79</v>
      </c>
    </row>
    <row r="158" spans="1:29" x14ac:dyDescent="0.25">
      <c r="A158" s="5" t="s">
        <v>54</v>
      </c>
      <c r="B158" s="5" t="s">
        <v>64</v>
      </c>
      <c r="C158" s="1">
        <v>20</v>
      </c>
      <c r="D158" s="1">
        <v>120</v>
      </c>
      <c r="E158" s="1">
        <v>6</v>
      </c>
      <c r="F158">
        <v>8</v>
      </c>
      <c r="G158">
        <v>6</v>
      </c>
      <c r="H158" s="1">
        <v>12.8</v>
      </c>
      <c r="I158" s="1">
        <v>56.9</v>
      </c>
      <c r="J158" s="1">
        <v>29.5</v>
      </c>
      <c r="K158" s="1">
        <v>6.33</v>
      </c>
      <c r="L158" s="34">
        <f t="shared" si="12"/>
        <v>186.73500000000001</v>
      </c>
      <c r="M158" s="55">
        <v>45922.609386574077</v>
      </c>
      <c r="N158" s="1">
        <v>17.850000000000001</v>
      </c>
      <c r="O158" s="1">
        <v>14.8</v>
      </c>
      <c r="P158" s="1">
        <v>58.6</v>
      </c>
      <c r="Q158" s="56">
        <f t="shared" si="13"/>
        <v>4031.4129648967796</v>
      </c>
      <c r="R158" s="34">
        <f t="shared" si="14"/>
        <v>80.628259297935585</v>
      </c>
      <c r="V158" s="55">
        <v>45922.660578703704</v>
      </c>
      <c r="W158">
        <v>16</v>
      </c>
      <c r="X158">
        <v>5</v>
      </c>
      <c r="Y158">
        <v>156</v>
      </c>
      <c r="Z158">
        <v>16.440000000000001</v>
      </c>
      <c r="AA158">
        <v>12.7</v>
      </c>
      <c r="AB158">
        <v>57.2</v>
      </c>
      <c r="AC158">
        <v>80</v>
      </c>
    </row>
    <row r="159" spans="1:29" x14ac:dyDescent="0.25">
      <c r="A159" s="5" t="s">
        <v>54</v>
      </c>
      <c r="B159" s="5" t="s">
        <v>64</v>
      </c>
      <c r="C159" s="1">
        <v>20</v>
      </c>
      <c r="D159" s="1">
        <v>46</v>
      </c>
      <c r="E159" s="1">
        <v>3</v>
      </c>
      <c r="F159">
        <v>10</v>
      </c>
      <c r="G159">
        <v>5</v>
      </c>
      <c r="H159" s="1">
        <v>12.4</v>
      </c>
      <c r="I159" s="1">
        <v>56</v>
      </c>
      <c r="J159" s="1">
        <v>29.5</v>
      </c>
      <c r="K159" s="1">
        <v>6.33</v>
      </c>
      <c r="L159" s="34">
        <f t="shared" si="12"/>
        <v>186.73500000000001</v>
      </c>
      <c r="M159" s="55">
        <v>45922.590358796297</v>
      </c>
      <c r="N159" s="1">
        <v>19.850000000000001</v>
      </c>
      <c r="O159" s="1">
        <v>15</v>
      </c>
      <c r="P159" s="1">
        <v>58.1</v>
      </c>
      <c r="Q159" s="56">
        <f t="shared" si="13"/>
        <v>4472.5881596915424</v>
      </c>
      <c r="R159" s="34">
        <f t="shared" si="14"/>
        <v>89.451763193830843</v>
      </c>
      <c r="V159" s="55">
        <v>45922.640740740739</v>
      </c>
      <c r="W159">
        <v>16</v>
      </c>
      <c r="X159">
        <v>4</v>
      </c>
      <c r="Y159">
        <v>157</v>
      </c>
      <c r="Z159">
        <v>15.31</v>
      </c>
      <c r="AA159">
        <v>14.2</v>
      </c>
      <c r="AB159">
        <v>58.1</v>
      </c>
      <c r="AC159">
        <v>49</v>
      </c>
    </row>
    <row r="160" spans="1:29" x14ac:dyDescent="0.25">
      <c r="A160" s="5" t="s">
        <v>54</v>
      </c>
      <c r="B160" s="5" t="s">
        <v>64</v>
      </c>
      <c r="C160" s="1">
        <v>20</v>
      </c>
      <c r="D160" s="1">
        <v>137</v>
      </c>
      <c r="E160" s="1">
        <v>7</v>
      </c>
      <c r="F160">
        <v>12</v>
      </c>
      <c r="G160">
        <v>9</v>
      </c>
      <c r="H160" s="1">
        <v>13.4</v>
      </c>
      <c r="I160" s="1">
        <v>56.6</v>
      </c>
      <c r="J160" s="1">
        <v>29.5</v>
      </c>
      <c r="K160" s="1">
        <v>6.33</v>
      </c>
      <c r="L160" s="34">
        <f t="shared" si="12"/>
        <v>186.73500000000001</v>
      </c>
      <c r="M160" s="55">
        <v>45922.643055555556</v>
      </c>
      <c r="N160" s="1">
        <v>17</v>
      </c>
      <c r="O160" s="1">
        <v>16.899999999999999</v>
      </c>
      <c r="P160" s="1">
        <v>58.5</v>
      </c>
      <c r="Q160" s="56">
        <f t="shared" si="13"/>
        <v>3744.8068117921111</v>
      </c>
      <c r="R160" s="34">
        <f t="shared" si="14"/>
        <v>74.896136235842221</v>
      </c>
      <c r="V160" s="55">
        <v>45922.639988425923</v>
      </c>
      <c r="W160">
        <v>16</v>
      </c>
      <c r="X160">
        <v>3</v>
      </c>
      <c r="Y160">
        <v>158</v>
      </c>
      <c r="Z160">
        <v>19.64</v>
      </c>
      <c r="AA160">
        <v>15.5</v>
      </c>
      <c r="AB160">
        <v>57.3</v>
      </c>
      <c r="AC160">
        <v>48</v>
      </c>
    </row>
    <row r="161" spans="1:29" x14ac:dyDescent="0.25">
      <c r="A161" s="5" t="s">
        <v>54</v>
      </c>
      <c r="B161" s="5" t="s">
        <v>64</v>
      </c>
      <c r="C161" s="1">
        <v>20</v>
      </c>
      <c r="D161" s="1">
        <v>68</v>
      </c>
      <c r="E161" s="1">
        <v>4</v>
      </c>
      <c r="F161">
        <v>14</v>
      </c>
      <c r="G161">
        <v>3</v>
      </c>
      <c r="H161" s="1">
        <v>13</v>
      </c>
      <c r="I161" s="1">
        <v>55.3</v>
      </c>
      <c r="J161" s="1">
        <v>29.5</v>
      </c>
      <c r="K161" s="1">
        <v>6.33</v>
      </c>
      <c r="L161" s="34">
        <f t="shared" si="12"/>
        <v>186.73500000000001</v>
      </c>
      <c r="M161" s="55">
        <v>45922.567071759258</v>
      </c>
      <c r="N161" s="1">
        <v>19.079999999999998</v>
      </c>
      <c r="O161" s="1">
        <v>15</v>
      </c>
      <c r="P161" s="1">
        <v>58.2</v>
      </c>
      <c r="Q161" s="56">
        <f t="shared" si="13"/>
        <v>4299.0922965700047</v>
      </c>
      <c r="R161" s="34">
        <f t="shared" si="14"/>
        <v>85.981845931400088</v>
      </c>
      <c r="V161" s="55">
        <v>45922.616111111114</v>
      </c>
      <c r="W161">
        <v>16</v>
      </c>
      <c r="X161">
        <v>2</v>
      </c>
      <c r="Y161">
        <v>159</v>
      </c>
      <c r="Z161">
        <v>20.77</v>
      </c>
      <c r="AA161">
        <v>16.899999999999999</v>
      </c>
      <c r="AB161">
        <v>58.3</v>
      </c>
      <c r="AC161">
        <v>17</v>
      </c>
    </row>
    <row r="162" spans="1:29" x14ac:dyDescent="0.25">
      <c r="A162" s="5" t="s">
        <v>54</v>
      </c>
      <c r="B162" s="5" t="s">
        <v>64</v>
      </c>
      <c r="C162" s="1">
        <v>20</v>
      </c>
      <c r="D162" s="1">
        <v>155</v>
      </c>
      <c r="E162" s="1">
        <v>8</v>
      </c>
      <c r="F162">
        <v>15</v>
      </c>
      <c r="G162">
        <v>10</v>
      </c>
      <c r="H162" s="1">
        <v>12.4</v>
      </c>
      <c r="I162" s="1">
        <v>56.2</v>
      </c>
      <c r="J162" s="1">
        <v>29.5</v>
      </c>
      <c r="K162" s="1">
        <v>6.33</v>
      </c>
      <c r="L162" s="34">
        <f t="shared" si="12"/>
        <v>186.73500000000001</v>
      </c>
      <c r="M162" s="55">
        <v>45922.659861111111</v>
      </c>
      <c r="N162" s="1">
        <v>19.559999999999999</v>
      </c>
      <c r="O162" s="1">
        <v>15</v>
      </c>
      <c r="P162" s="1">
        <v>58.3</v>
      </c>
      <c r="Q162" s="56">
        <f t="shared" si="13"/>
        <v>4407.2455618925205</v>
      </c>
      <c r="R162" s="34">
        <f t="shared" si="14"/>
        <v>88.144911237850408</v>
      </c>
      <c r="V162" s="55">
        <v>45922.615231481483</v>
      </c>
      <c r="W162">
        <v>16</v>
      </c>
      <c r="X162">
        <v>1</v>
      </c>
      <c r="Y162">
        <v>160</v>
      </c>
      <c r="Z162">
        <v>17.54</v>
      </c>
      <c r="AA162">
        <v>14.6</v>
      </c>
      <c r="AB162">
        <v>58.3</v>
      </c>
      <c r="AC162">
        <v>16</v>
      </c>
    </row>
  </sheetData>
  <sortState xmlns:xlrd2="http://schemas.microsoft.com/office/spreadsheetml/2017/richdata2" ref="A3:R162">
    <sortCondition ref="C3:C162"/>
  </sortState>
  <mergeCells count="1">
    <mergeCell ref="A1:B1"/>
  </mergeCells>
  <phoneticPr fontId="31" type="noConversion"/>
  <conditionalFormatting sqref="H3:H162">
    <cfRule type="colorScale" priority="2">
      <colorScale>
        <cfvo type="min"/>
        <cfvo type="percentile" val="50"/>
        <cfvo type="max"/>
        <color rgb="FFF8696B"/>
        <color rgb="FFFCFCFF"/>
        <color rgb="FF63BE7B"/>
      </colorScale>
    </cfRule>
  </conditionalFormatting>
  <conditionalFormatting sqref="I3:I162">
    <cfRule type="colorScale" priority="1">
      <colorScale>
        <cfvo type="min"/>
        <cfvo type="percentile" val="50"/>
        <cfvo type="max"/>
        <color rgb="FFF8696B"/>
        <color rgb="FFFCFCFF"/>
        <color rgb="FF5A8AC6"/>
      </colorScale>
    </cfRule>
  </conditionalFormatting>
  <conditionalFormatting sqref="O3:O162">
    <cfRule type="colorScale" priority="5">
      <colorScale>
        <cfvo type="min"/>
        <cfvo type="percentile" val="50"/>
        <cfvo type="max"/>
        <color rgb="FFF8696B"/>
        <color rgb="FFFCFCFF"/>
        <color rgb="FF63BE7B"/>
      </colorScale>
    </cfRule>
  </conditionalFormatting>
  <conditionalFormatting sqref="P3:P162">
    <cfRule type="colorScale" priority="6">
      <colorScale>
        <cfvo type="min"/>
        <cfvo type="percentile" val="50"/>
        <cfvo type="max"/>
        <color rgb="FFF8696B"/>
        <color rgb="FFFCFCFF"/>
        <color rgb="FF5A8AC6"/>
      </colorScale>
    </cfRule>
  </conditionalFormatting>
  <conditionalFormatting sqref="Q3:Q162">
    <cfRule type="colorScale" priority="4">
      <colorScale>
        <cfvo type="min"/>
        <cfvo type="percentile" val="50"/>
        <cfvo type="max"/>
        <color rgb="FFF8696B"/>
        <color rgb="FFFCFCFF"/>
        <color rgb="FF5A8AC6"/>
      </colorScale>
    </cfRule>
  </conditionalFormatting>
  <conditionalFormatting sqref="R3:R162">
    <cfRule type="colorScale" priority="3">
      <colorScale>
        <cfvo type="min"/>
        <cfvo type="percentile" val="50"/>
        <cfvo type="max"/>
        <color rgb="FFF8696B"/>
        <color rgb="FFFCFCFF"/>
        <color rgb="FF5A8AC6"/>
      </colorScale>
    </cfRule>
  </conditionalFormatting>
  <printOptions gridLines="1"/>
  <pageMargins left="0.7" right="0.7" top="0.75" bottom="0.75" header="0.3" footer="0.3"/>
  <pageSetup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B205-164C-4FD5-ADF3-2AD3C59443E5}">
  <dimension ref="A1:CT1327"/>
  <sheetViews>
    <sheetView tabSelected="1" topLeftCell="A39" zoomScale="85" zoomScaleNormal="85" workbookViewId="0">
      <selection activeCell="A2" sqref="A2:A161"/>
    </sheetView>
  </sheetViews>
  <sheetFormatPr defaultColWidth="8.85546875" defaultRowHeight="15.75" x14ac:dyDescent="0.25"/>
  <cols>
    <col min="1" max="1" width="12" style="61" customWidth="1"/>
    <col min="2" max="2" width="4.7109375" style="61" bestFit="1" customWidth="1"/>
    <col min="3" max="3" width="5.140625" style="61" bestFit="1" customWidth="1"/>
    <col min="4" max="4" width="4.140625" style="61" bestFit="1" customWidth="1"/>
    <col min="5" max="5" width="9.7109375" style="61" customWidth="1"/>
    <col min="6" max="6" width="5.42578125" style="61" customWidth="1"/>
    <col min="7" max="7" width="6.140625" style="61" bestFit="1" customWidth="1"/>
    <col min="8" max="11" width="8.85546875" style="61"/>
    <col min="12" max="12" width="10.42578125" style="61" customWidth="1"/>
    <col min="13" max="16384" width="8.85546875" style="61"/>
  </cols>
  <sheetData>
    <row r="1" spans="1:98" ht="30.75" thickBot="1" x14ac:dyDescent="0.3">
      <c r="A1" s="58" t="s">
        <v>118</v>
      </c>
      <c r="B1" s="59" t="s">
        <v>53</v>
      </c>
      <c r="C1" s="59" t="s">
        <v>114</v>
      </c>
      <c r="D1" s="59" t="s">
        <v>119</v>
      </c>
      <c r="E1" s="60" t="s">
        <v>120</v>
      </c>
      <c r="F1" s="60" t="s">
        <v>196</v>
      </c>
      <c r="G1" s="59" t="s">
        <v>195</v>
      </c>
      <c r="H1" s="61" t="s">
        <v>121</v>
      </c>
      <c r="V1" s="62" t="s">
        <v>122</v>
      </c>
      <c r="W1" s="63" t="s">
        <v>123</v>
      </c>
      <c r="X1" s="63" t="s">
        <v>124</v>
      </c>
      <c r="Y1" s="63" t="s">
        <v>125</v>
      </c>
      <c r="AA1" s="61" t="s">
        <v>120</v>
      </c>
      <c r="AB1" s="139" t="s">
        <v>199</v>
      </c>
      <c r="AC1" s="137" t="s">
        <v>127</v>
      </c>
      <c r="AD1" s="137" t="s">
        <v>128</v>
      </c>
      <c r="AE1" s="63" t="s">
        <v>129</v>
      </c>
      <c r="AF1" s="137" t="s">
        <v>130</v>
      </c>
      <c r="AG1" s="137" t="s">
        <v>131</v>
      </c>
      <c r="AH1" s="137" t="s">
        <v>132</v>
      </c>
      <c r="AI1" s="137" t="s">
        <v>133</v>
      </c>
      <c r="AJ1" s="137" t="s">
        <v>134</v>
      </c>
      <c r="AK1" s="137" t="s">
        <v>135</v>
      </c>
      <c r="AM1" s="62" t="s">
        <v>138</v>
      </c>
      <c r="AN1" s="63" t="s">
        <v>141</v>
      </c>
      <c r="AO1" s="63" t="s">
        <v>128</v>
      </c>
      <c r="AP1" s="63" t="s">
        <v>137</v>
      </c>
      <c r="AQ1" s="63" t="s">
        <v>130</v>
      </c>
      <c r="AS1" s="62" t="s">
        <v>138</v>
      </c>
      <c r="AT1" s="63" t="s">
        <v>139</v>
      </c>
      <c r="AU1" s="63" t="s">
        <v>128</v>
      </c>
      <c r="AV1" s="63" t="s">
        <v>137</v>
      </c>
      <c r="AW1" s="63" t="s">
        <v>130</v>
      </c>
      <c r="AY1" s="61" t="s">
        <v>140</v>
      </c>
      <c r="AZ1" s="139" t="s">
        <v>126</v>
      </c>
      <c r="BA1" s="137" t="s">
        <v>127</v>
      </c>
      <c r="BB1" s="137" t="s">
        <v>128</v>
      </c>
      <c r="BC1" s="63" t="s">
        <v>129</v>
      </c>
      <c r="BD1" s="137" t="s">
        <v>130</v>
      </c>
      <c r="BE1" s="137" t="s">
        <v>131</v>
      </c>
      <c r="BF1" s="137" t="s">
        <v>132</v>
      </c>
      <c r="BG1" s="137" t="s">
        <v>133</v>
      </c>
      <c r="BH1" s="137" t="s">
        <v>134</v>
      </c>
      <c r="BI1" s="137" t="s">
        <v>135</v>
      </c>
      <c r="BK1" s="62" t="s">
        <v>138</v>
      </c>
      <c r="BL1" s="63" t="s">
        <v>139</v>
      </c>
      <c r="BM1" s="63" t="s">
        <v>128</v>
      </c>
      <c r="BN1" s="63" t="s">
        <v>137</v>
      </c>
      <c r="BO1" s="63" t="s">
        <v>130</v>
      </c>
      <c r="BQ1" s="62" t="s">
        <v>138</v>
      </c>
      <c r="BR1" s="63" t="s">
        <v>141</v>
      </c>
      <c r="BS1" s="63" t="s">
        <v>128</v>
      </c>
      <c r="BT1" s="63" t="s">
        <v>137</v>
      </c>
      <c r="BU1" s="63" t="s">
        <v>130</v>
      </c>
      <c r="BX1" s="61" t="s">
        <v>201</v>
      </c>
      <c r="CJ1" s="62" t="s">
        <v>200</v>
      </c>
      <c r="CK1" s="63" t="s">
        <v>136</v>
      </c>
      <c r="CL1" s="63" t="s">
        <v>128</v>
      </c>
      <c r="CM1" s="63" t="s">
        <v>137</v>
      </c>
      <c r="CN1" s="63" t="s">
        <v>130</v>
      </c>
      <c r="CP1" s="62" t="s">
        <v>200</v>
      </c>
      <c r="CQ1" s="63" t="s">
        <v>139</v>
      </c>
      <c r="CR1" s="63" t="s">
        <v>128</v>
      </c>
      <c r="CS1" s="63" t="s">
        <v>137</v>
      </c>
      <c r="CT1" s="63" t="s">
        <v>130</v>
      </c>
    </row>
    <row r="2" spans="1:98" ht="16.5" thickBot="1" x14ac:dyDescent="0.3">
      <c r="A2" s="101">
        <v>1</v>
      </c>
      <c r="B2" s="101">
        <v>2</v>
      </c>
      <c r="C2" s="102">
        <v>5</v>
      </c>
      <c r="D2" s="102">
        <v>1</v>
      </c>
      <c r="E2" s="103" t="s">
        <v>194</v>
      </c>
      <c r="F2" s="103" t="s">
        <v>194</v>
      </c>
      <c r="G2" s="104">
        <v>58.4</v>
      </c>
      <c r="H2" s="105">
        <v>-1087.072011</v>
      </c>
      <c r="V2" s="64">
        <v>1</v>
      </c>
      <c r="W2" s="99">
        <v>4685.1994539999996</v>
      </c>
      <c r="X2" s="99">
        <v>4773.8127590000004</v>
      </c>
      <c r="Y2" s="100">
        <v>-88.613304999999997</v>
      </c>
      <c r="AB2" s="140"/>
      <c r="AC2" s="138"/>
      <c r="AD2" s="138"/>
      <c r="AE2" s="65" t="s">
        <v>142</v>
      </c>
      <c r="AF2" s="138"/>
      <c r="AG2" s="138"/>
      <c r="AH2" s="138"/>
      <c r="AI2" s="138"/>
      <c r="AJ2" s="138"/>
      <c r="AK2" s="138"/>
      <c r="AM2" s="62">
        <v>1</v>
      </c>
      <c r="AN2" s="112">
        <v>2.72099</v>
      </c>
      <c r="AO2" s="112">
        <v>9.3992000000000004</v>
      </c>
      <c r="AP2" s="112">
        <v>2.6137000000000001</v>
      </c>
      <c r="AQ2" s="112">
        <v>117</v>
      </c>
      <c r="AS2" s="62">
        <v>1</v>
      </c>
      <c r="AT2" s="112">
        <v>5.17631</v>
      </c>
      <c r="AU2" s="112">
        <v>9.3992000000000004</v>
      </c>
      <c r="AV2" s="112">
        <v>2.6137000000000001</v>
      </c>
      <c r="AW2" s="112">
        <v>117</v>
      </c>
      <c r="AZ2" s="142"/>
      <c r="BA2" s="141"/>
      <c r="BB2" s="141"/>
      <c r="BC2" s="65" t="s">
        <v>142</v>
      </c>
      <c r="BD2" s="141"/>
      <c r="BE2" s="141"/>
      <c r="BF2" s="141"/>
      <c r="BG2" s="141"/>
      <c r="BH2" s="141"/>
      <c r="BI2" s="141"/>
      <c r="BK2" s="62">
        <v>1</v>
      </c>
      <c r="BL2" s="112">
        <v>0.40162999999999999</v>
      </c>
      <c r="BM2" s="112">
        <v>0.89749999999999996</v>
      </c>
      <c r="BN2" s="112">
        <v>0.2031</v>
      </c>
      <c r="BO2" s="112">
        <v>133</v>
      </c>
      <c r="BQ2" s="62">
        <v>1</v>
      </c>
      <c r="BR2" s="112">
        <v>0.21127000000000001</v>
      </c>
      <c r="BS2" s="112">
        <v>0.89749999999999996</v>
      </c>
      <c r="BT2" s="112">
        <v>0.2031</v>
      </c>
      <c r="BU2" s="112">
        <v>133</v>
      </c>
      <c r="BX2" s="62" t="s">
        <v>127</v>
      </c>
      <c r="BY2" s="63">
        <v>1</v>
      </c>
      <c r="BZ2" s="112">
        <v>4887.8</v>
      </c>
      <c r="CA2" s="112">
        <v>114.54</v>
      </c>
      <c r="CB2" s="112">
        <v>117</v>
      </c>
      <c r="CC2" s="112">
        <v>42.67</v>
      </c>
      <c r="CD2" s="112" t="s">
        <v>143</v>
      </c>
      <c r="CE2" s="112">
        <v>0.3</v>
      </c>
      <c r="CF2" s="112">
        <v>4768.55</v>
      </c>
      <c r="CG2" s="112">
        <v>5007.04</v>
      </c>
      <c r="CJ2" s="62">
        <v>1</v>
      </c>
      <c r="CK2" s="112">
        <v>136.05000000000001</v>
      </c>
      <c r="CL2" s="112">
        <v>469.96</v>
      </c>
      <c r="CM2" s="112">
        <v>130.69</v>
      </c>
      <c r="CN2" s="112">
        <v>117</v>
      </c>
      <c r="CP2" s="62">
        <v>1</v>
      </c>
      <c r="CQ2" s="112">
        <v>258.815</v>
      </c>
      <c r="CR2" s="112">
        <v>469.96</v>
      </c>
      <c r="CS2" s="112">
        <v>130.69</v>
      </c>
      <c r="CT2" s="112">
        <v>117</v>
      </c>
    </row>
    <row r="3" spans="1:98" x14ac:dyDescent="0.25">
      <c r="A3" s="106">
        <v>2</v>
      </c>
      <c r="B3" s="106">
        <v>3</v>
      </c>
      <c r="C3" s="107">
        <v>10</v>
      </c>
      <c r="D3" s="107">
        <v>1</v>
      </c>
      <c r="E3" s="103" t="s">
        <v>194</v>
      </c>
      <c r="F3" s="103" t="s">
        <v>194</v>
      </c>
      <c r="G3" s="102">
        <v>57.6</v>
      </c>
      <c r="H3" s="105">
        <v>-1210.3326219999999</v>
      </c>
      <c r="V3" s="64">
        <v>2</v>
      </c>
      <c r="W3" s="99">
        <v>3743.0572739999998</v>
      </c>
      <c r="X3" s="99">
        <v>4830.129285</v>
      </c>
      <c r="Y3" s="100">
        <v>-1087.072011</v>
      </c>
      <c r="AB3" s="62" t="s">
        <v>127</v>
      </c>
      <c r="AC3" s="63">
        <v>1</v>
      </c>
      <c r="AD3" s="112">
        <v>97.755899999999997</v>
      </c>
      <c r="AE3" s="112">
        <v>2.2909000000000002</v>
      </c>
      <c r="AF3" s="112">
        <v>117</v>
      </c>
      <c r="AG3" s="112">
        <v>42.67</v>
      </c>
      <c r="AH3" s="112" t="s">
        <v>143</v>
      </c>
      <c r="AI3" s="112">
        <v>0.3</v>
      </c>
      <c r="AJ3" s="112">
        <v>95.370999999999995</v>
      </c>
      <c r="AK3" s="112">
        <v>100.14</v>
      </c>
      <c r="AM3" s="64">
        <v>2</v>
      </c>
      <c r="AN3" s="99">
        <v>2.7160700000000002</v>
      </c>
      <c r="AO3" s="99">
        <v>1.329</v>
      </c>
      <c r="AP3" s="99">
        <v>2.609</v>
      </c>
      <c r="AQ3" s="99">
        <v>117</v>
      </c>
      <c r="AS3" s="64">
        <v>2</v>
      </c>
      <c r="AT3" s="99">
        <v>5.1669499999999999</v>
      </c>
      <c r="AU3" s="99">
        <v>1.329</v>
      </c>
      <c r="AV3" s="99">
        <v>2.609</v>
      </c>
      <c r="AW3" s="99">
        <v>117</v>
      </c>
      <c r="AZ3" s="62" t="s">
        <v>127</v>
      </c>
      <c r="BA3" s="63">
        <v>1</v>
      </c>
      <c r="BB3" s="112">
        <v>58.3322</v>
      </c>
      <c r="BC3" s="112">
        <v>0.16350000000000001</v>
      </c>
      <c r="BD3" s="112">
        <v>133</v>
      </c>
      <c r="BE3" s="112">
        <v>356.75</v>
      </c>
      <c r="BF3" s="112" t="s">
        <v>143</v>
      </c>
      <c r="BG3" s="112">
        <v>0.3</v>
      </c>
      <c r="BH3" s="112">
        <v>58.162100000000002</v>
      </c>
      <c r="BI3" s="112">
        <v>58.502299999999998</v>
      </c>
      <c r="BK3" s="64">
        <v>2</v>
      </c>
      <c r="BL3" s="99">
        <v>0.40461000000000003</v>
      </c>
      <c r="BM3" s="100">
        <v>-0.14940000000000001</v>
      </c>
      <c r="BN3" s="99">
        <v>0.2046</v>
      </c>
      <c r="BO3" s="99">
        <v>133</v>
      </c>
      <c r="BQ3" s="64">
        <v>2</v>
      </c>
      <c r="BR3" s="99">
        <v>0.21284</v>
      </c>
      <c r="BS3" s="100">
        <v>-0.14940000000000001</v>
      </c>
      <c r="BT3" s="99">
        <v>0.2046</v>
      </c>
      <c r="BU3" s="99">
        <v>133</v>
      </c>
      <c r="BX3" s="64" t="s">
        <v>127</v>
      </c>
      <c r="BY3" s="65">
        <v>2</v>
      </c>
      <c r="BZ3" s="99">
        <v>4417.84</v>
      </c>
      <c r="CA3" s="99">
        <v>113.97</v>
      </c>
      <c r="CB3" s="99">
        <v>117</v>
      </c>
      <c r="CC3" s="99">
        <v>38.76</v>
      </c>
      <c r="CD3" s="99" t="s">
        <v>143</v>
      </c>
      <c r="CE3" s="99">
        <v>0.3</v>
      </c>
      <c r="CF3" s="99">
        <v>4299.18</v>
      </c>
      <c r="CG3" s="99">
        <v>4536.49</v>
      </c>
      <c r="CJ3" s="64">
        <v>2</v>
      </c>
      <c r="CK3" s="99">
        <v>135.804</v>
      </c>
      <c r="CL3" s="99">
        <v>66.450100000000006</v>
      </c>
      <c r="CM3" s="99">
        <v>130.44999999999999</v>
      </c>
      <c r="CN3" s="99">
        <v>117</v>
      </c>
      <c r="CP3" s="64">
        <v>2</v>
      </c>
      <c r="CQ3" s="99">
        <v>258.34699999999998</v>
      </c>
      <c r="CR3" s="99">
        <v>66.450100000000006</v>
      </c>
      <c r="CS3" s="99">
        <v>130.44999999999999</v>
      </c>
      <c r="CT3" s="99">
        <v>117</v>
      </c>
    </row>
    <row r="4" spans="1:98" x14ac:dyDescent="0.25">
      <c r="A4" s="101">
        <v>3</v>
      </c>
      <c r="B4" s="101">
        <v>2</v>
      </c>
      <c r="C4" s="102">
        <v>7</v>
      </c>
      <c r="D4" s="102">
        <v>1</v>
      </c>
      <c r="E4" s="103" t="s">
        <v>194</v>
      </c>
      <c r="F4" s="103" t="s">
        <v>194</v>
      </c>
      <c r="G4" s="102">
        <v>58.9</v>
      </c>
      <c r="H4" s="105">
        <v>-572.41459699999996</v>
      </c>
      <c r="V4" s="64">
        <v>3</v>
      </c>
      <c r="W4" s="99">
        <v>5165.8983049999997</v>
      </c>
      <c r="X4" s="99">
        <v>4830.129285</v>
      </c>
      <c r="Y4" s="99">
        <v>335.76902000000001</v>
      </c>
      <c r="AB4" s="64" t="s">
        <v>127</v>
      </c>
      <c r="AC4" s="65">
        <v>2</v>
      </c>
      <c r="AD4" s="99">
        <v>88.356700000000004</v>
      </c>
      <c r="AE4" s="99">
        <v>2.2795000000000001</v>
      </c>
      <c r="AF4" s="99">
        <v>117</v>
      </c>
      <c r="AG4" s="99">
        <v>38.76</v>
      </c>
      <c r="AH4" s="99" t="s">
        <v>143</v>
      </c>
      <c r="AI4" s="99">
        <v>0.3</v>
      </c>
      <c r="AJ4" s="99">
        <v>85.983699999999999</v>
      </c>
      <c r="AK4" s="99">
        <v>90.729799999999997</v>
      </c>
      <c r="AM4" s="64">
        <v>3</v>
      </c>
      <c r="AN4" s="99">
        <v>2.6665999999999999</v>
      </c>
      <c r="AO4" s="99">
        <v>1.774</v>
      </c>
      <c r="AP4" s="99">
        <v>2.5615000000000001</v>
      </c>
      <c r="AQ4" s="99">
        <v>117</v>
      </c>
      <c r="AS4" s="64">
        <v>3</v>
      </c>
      <c r="AT4" s="99">
        <v>5.0728400000000002</v>
      </c>
      <c r="AU4" s="99">
        <v>1.774</v>
      </c>
      <c r="AV4" s="99">
        <v>2.5615000000000001</v>
      </c>
      <c r="AW4" s="99">
        <v>117</v>
      </c>
      <c r="AZ4" s="64" t="s">
        <v>127</v>
      </c>
      <c r="BA4" s="65">
        <v>2</v>
      </c>
      <c r="BB4" s="99">
        <v>57.434699999999999</v>
      </c>
      <c r="BC4" s="99">
        <v>0.16370000000000001</v>
      </c>
      <c r="BD4" s="99">
        <v>133</v>
      </c>
      <c r="BE4" s="99">
        <v>350.89</v>
      </c>
      <c r="BF4" s="99" t="s">
        <v>143</v>
      </c>
      <c r="BG4" s="99">
        <v>0.3</v>
      </c>
      <c r="BH4" s="99">
        <v>57.264400000000002</v>
      </c>
      <c r="BI4" s="99">
        <v>57.604999999999997</v>
      </c>
      <c r="BK4" s="64">
        <v>3</v>
      </c>
      <c r="BL4" s="99">
        <v>0.40582000000000001</v>
      </c>
      <c r="BM4" s="99">
        <v>0.74019999999999997</v>
      </c>
      <c r="BN4" s="99">
        <v>0.20519999999999999</v>
      </c>
      <c r="BO4" s="99">
        <v>133</v>
      </c>
      <c r="BQ4" s="64">
        <v>3</v>
      </c>
      <c r="BR4" s="99">
        <v>0.21348</v>
      </c>
      <c r="BS4" s="99">
        <v>0.74019999999999997</v>
      </c>
      <c r="BT4" s="99">
        <v>0.20519999999999999</v>
      </c>
      <c r="BU4" s="99">
        <v>133</v>
      </c>
      <c r="BX4" s="64" t="s">
        <v>127</v>
      </c>
      <c r="BY4" s="65">
        <v>3</v>
      </c>
      <c r="BZ4" s="99">
        <v>4821.3500000000004</v>
      </c>
      <c r="CA4" s="99">
        <v>114.31</v>
      </c>
      <c r="CB4" s="99">
        <v>117</v>
      </c>
      <c r="CC4" s="99">
        <v>42.18</v>
      </c>
      <c r="CD4" s="99" t="s">
        <v>143</v>
      </c>
      <c r="CE4" s="99">
        <v>0.3</v>
      </c>
      <c r="CF4" s="99">
        <v>4702.34</v>
      </c>
      <c r="CG4" s="99">
        <v>4940.3500000000004</v>
      </c>
      <c r="CJ4" s="64">
        <v>3</v>
      </c>
      <c r="CK4" s="99">
        <v>133.33000000000001</v>
      </c>
      <c r="CL4" s="99">
        <v>88.699600000000004</v>
      </c>
      <c r="CM4" s="99">
        <v>128.07</v>
      </c>
      <c r="CN4" s="99">
        <v>117</v>
      </c>
      <c r="CP4" s="64">
        <v>3</v>
      </c>
      <c r="CQ4" s="99">
        <v>253.642</v>
      </c>
      <c r="CR4" s="99">
        <v>88.699600000000004</v>
      </c>
      <c r="CS4" s="99">
        <v>128.07</v>
      </c>
      <c r="CT4" s="99">
        <v>117</v>
      </c>
    </row>
    <row r="5" spans="1:98" x14ac:dyDescent="0.25">
      <c r="A5" s="101">
        <v>7</v>
      </c>
      <c r="B5" s="101">
        <v>4</v>
      </c>
      <c r="C5" s="102">
        <v>13</v>
      </c>
      <c r="D5" s="102">
        <v>1</v>
      </c>
      <c r="E5" s="103" t="s">
        <v>194</v>
      </c>
      <c r="F5" s="103" t="s">
        <v>194</v>
      </c>
      <c r="G5" s="102">
        <v>56.8</v>
      </c>
      <c r="H5" s="105">
        <v>-860.56105200000002</v>
      </c>
      <c r="V5" s="64">
        <v>4</v>
      </c>
      <c r="W5" s="99">
        <v>4899.0884409999999</v>
      </c>
      <c r="X5" s="99">
        <v>4812.6701329999996</v>
      </c>
      <c r="Y5" s="99">
        <v>86.418307999999996</v>
      </c>
      <c r="AB5" s="64" t="s">
        <v>127</v>
      </c>
      <c r="AC5" s="65">
        <v>3</v>
      </c>
      <c r="AD5" s="99">
        <v>96.426900000000003</v>
      </c>
      <c r="AE5" s="99">
        <v>2.2863000000000002</v>
      </c>
      <c r="AF5" s="99">
        <v>117</v>
      </c>
      <c r="AG5" s="99">
        <v>42.18</v>
      </c>
      <c r="AH5" s="99" t="s">
        <v>143</v>
      </c>
      <c r="AI5" s="99">
        <v>0.3</v>
      </c>
      <c r="AJ5" s="99">
        <v>94.046800000000005</v>
      </c>
      <c r="AK5" s="99">
        <v>98.807000000000002</v>
      </c>
      <c r="AM5" s="64">
        <v>4</v>
      </c>
      <c r="AN5" s="99">
        <v>2.62236</v>
      </c>
      <c r="AO5" s="99">
        <v>5.7698</v>
      </c>
      <c r="AP5" s="99">
        <v>2.5190000000000001</v>
      </c>
      <c r="AQ5" s="99">
        <v>117</v>
      </c>
      <c r="AS5" s="64">
        <v>4</v>
      </c>
      <c r="AT5" s="99">
        <v>4.9886699999999999</v>
      </c>
      <c r="AU5" s="99">
        <v>5.7698</v>
      </c>
      <c r="AV5" s="99">
        <v>2.5190000000000001</v>
      </c>
      <c r="AW5" s="99">
        <v>117</v>
      </c>
      <c r="AZ5" s="64" t="s">
        <v>127</v>
      </c>
      <c r="BA5" s="65">
        <v>3</v>
      </c>
      <c r="BB5" s="99">
        <v>58.4816</v>
      </c>
      <c r="BC5" s="99">
        <v>0.16350000000000001</v>
      </c>
      <c r="BD5" s="99">
        <v>133</v>
      </c>
      <c r="BE5" s="99">
        <v>357.79</v>
      </c>
      <c r="BF5" s="99" t="s">
        <v>143</v>
      </c>
      <c r="BG5" s="99">
        <v>0.3</v>
      </c>
      <c r="BH5" s="99">
        <v>58.311500000000002</v>
      </c>
      <c r="BI5" s="99">
        <v>58.651600000000002</v>
      </c>
      <c r="BK5" s="64">
        <v>4</v>
      </c>
      <c r="BL5" s="99">
        <v>0.40655999999999998</v>
      </c>
      <c r="BM5" s="99">
        <v>0.1772</v>
      </c>
      <c r="BN5" s="99">
        <v>0.20549999999999999</v>
      </c>
      <c r="BO5" s="99">
        <v>133</v>
      </c>
      <c r="BQ5" s="64">
        <v>4</v>
      </c>
      <c r="BR5" s="99">
        <v>0.21387</v>
      </c>
      <c r="BS5" s="99">
        <v>0.1772</v>
      </c>
      <c r="BT5" s="99">
        <v>0.20549999999999999</v>
      </c>
      <c r="BU5" s="99">
        <v>133</v>
      </c>
      <c r="BX5" s="64" t="s">
        <v>127</v>
      </c>
      <c r="BY5" s="65">
        <v>4</v>
      </c>
      <c r="BZ5" s="99">
        <v>4799.1000000000004</v>
      </c>
      <c r="CA5" s="99">
        <v>109.27</v>
      </c>
      <c r="CB5" s="99">
        <v>117</v>
      </c>
      <c r="CC5" s="99">
        <v>43.92</v>
      </c>
      <c r="CD5" s="99" t="s">
        <v>143</v>
      </c>
      <c r="CE5" s="99">
        <v>0.3</v>
      </c>
      <c r="CF5" s="99">
        <v>4685.34</v>
      </c>
      <c r="CG5" s="99">
        <v>4912.8599999999997</v>
      </c>
      <c r="CJ5" s="64">
        <v>4</v>
      </c>
      <c r="CK5" s="99">
        <v>131.11799999999999</v>
      </c>
      <c r="CL5" s="99">
        <v>288.49</v>
      </c>
      <c r="CM5" s="99">
        <v>125.95</v>
      </c>
      <c r="CN5" s="99">
        <v>117</v>
      </c>
      <c r="CP5" s="64">
        <v>4</v>
      </c>
      <c r="CQ5" s="99">
        <v>249.43299999999999</v>
      </c>
      <c r="CR5" s="99">
        <v>288.49</v>
      </c>
      <c r="CS5" s="99">
        <v>125.95</v>
      </c>
      <c r="CT5" s="99">
        <v>117</v>
      </c>
    </row>
    <row r="6" spans="1:98" x14ac:dyDescent="0.25">
      <c r="A6" s="101">
        <v>8</v>
      </c>
      <c r="B6" s="101">
        <v>3</v>
      </c>
      <c r="C6" s="102">
        <v>9</v>
      </c>
      <c r="D6" s="102">
        <v>1</v>
      </c>
      <c r="E6" s="103" t="s">
        <v>194</v>
      </c>
      <c r="F6" s="103" t="s">
        <v>194</v>
      </c>
      <c r="G6" s="102">
        <v>58.3</v>
      </c>
      <c r="H6" s="105">
        <v>-541.91661499999998</v>
      </c>
      <c r="L6" s="67"/>
      <c r="M6" s="68" t="s">
        <v>202</v>
      </c>
      <c r="N6" s="68" t="s">
        <v>203</v>
      </c>
      <c r="O6" s="68" t="s">
        <v>140</v>
      </c>
      <c r="V6" s="64">
        <v>5</v>
      </c>
      <c r="W6" s="99">
        <v>5312.0351030000002</v>
      </c>
      <c r="X6" s="99">
        <v>4807.1142890000001</v>
      </c>
      <c r="Y6" s="99">
        <v>504.92081400000001</v>
      </c>
      <c r="AB6" s="64" t="s">
        <v>127</v>
      </c>
      <c r="AC6" s="65">
        <v>4</v>
      </c>
      <c r="AD6" s="99">
        <v>95.981899999999996</v>
      </c>
      <c r="AE6" s="99">
        <v>2.1855000000000002</v>
      </c>
      <c r="AF6" s="99">
        <v>117</v>
      </c>
      <c r="AG6" s="99">
        <v>43.92</v>
      </c>
      <c r="AH6" s="99" t="s">
        <v>143</v>
      </c>
      <c r="AI6" s="99">
        <v>0.3</v>
      </c>
      <c r="AJ6" s="99">
        <v>93.706699999999998</v>
      </c>
      <c r="AK6" s="99">
        <v>98.257099999999994</v>
      </c>
      <c r="AM6" s="64">
        <v>5</v>
      </c>
      <c r="AN6" s="99">
        <v>2.6437599999999999</v>
      </c>
      <c r="AO6" s="99">
        <v>8.7453000000000003</v>
      </c>
      <c r="AP6" s="99">
        <v>2.5394999999999999</v>
      </c>
      <c r="AQ6" s="99">
        <v>117</v>
      </c>
      <c r="AS6" s="64">
        <v>5</v>
      </c>
      <c r="AT6" s="99">
        <v>5.0293900000000002</v>
      </c>
      <c r="AU6" s="99">
        <v>8.7453000000000003</v>
      </c>
      <c r="AV6" s="99">
        <v>2.5394999999999999</v>
      </c>
      <c r="AW6" s="99">
        <v>117</v>
      </c>
      <c r="AZ6" s="64" t="s">
        <v>127</v>
      </c>
      <c r="BA6" s="65">
        <v>4</v>
      </c>
      <c r="BB6" s="99">
        <v>57.591999999999999</v>
      </c>
      <c r="BC6" s="99">
        <v>0.16350000000000001</v>
      </c>
      <c r="BD6" s="99">
        <v>133</v>
      </c>
      <c r="BE6" s="99">
        <v>352.21</v>
      </c>
      <c r="BF6" s="99" t="s">
        <v>143</v>
      </c>
      <c r="BG6" s="99">
        <v>0.3</v>
      </c>
      <c r="BH6" s="99">
        <v>57.421900000000001</v>
      </c>
      <c r="BI6" s="99">
        <v>57.762099999999997</v>
      </c>
      <c r="BK6" s="64">
        <v>5</v>
      </c>
      <c r="BL6" s="99">
        <v>0.40190999999999999</v>
      </c>
      <c r="BM6" s="99">
        <v>0.28960000000000002</v>
      </c>
      <c r="BN6" s="99">
        <v>0.20319999999999999</v>
      </c>
      <c r="BO6" s="99">
        <v>133</v>
      </c>
      <c r="BQ6" s="64">
        <v>5</v>
      </c>
      <c r="BR6" s="99">
        <v>0.21142</v>
      </c>
      <c r="BS6" s="99">
        <v>0.28960000000000002</v>
      </c>
      <c r="BT6" s="99">
        <v>0.20319999999999999</v>
      </c>
      <c r="BU6" s="99">
        <v>133</v>
      </c>
      <c r="BX6" s="64" t="s">
        <v>127</v>
      </c>
      <c r="BY6" s="65">
        <v>5</v>
      </c>
      <c r="BZ6" s="99">
        <v>4599.3</v>
      </c>
      <c r="CA6" s="99">
        <v>109.61</v>
      </c>
      <c r="CB6" s="99">
        <v>117</v>
      </c>
      <c r="CC6" s="99">
        <v>41.96</v>
      </c>
      <c r="CD6" s="99" t="s">
        <v>143</v>
      </c>
      <c r="CE6" s="99">
        <v>0.3</v>
      </c>
      <c r="CF6" s="99">
        <v>4485.1899999999996</v>
      </c>
      <c r="CG6" s="99">
        <v>4713.41</v>
      </c>
      <c r="CJ6" s="64">
        <v>5</v>
      </c>
      <c r="CK6" s="99">
        <v>132.18799999999999</v>
      </c>
      <c r="CL6" s="99">
        <v>437.27</v>
      </c>
      <c r="CM6" s="99">
        <v>126.98</v>
      </c>
      <c r="CN6" s="99">
        <v>117</v>
      </c>
      <c r="CP6" s="64">
        <v>5</v>
      </c>
      <c r="CQ6" s="99">
        <v>251.46899999999999</v>
      </c>
      <c r="CR6" s="99">
        <v>437.27</v>
      </c>
      <c r="CS6" s="99">
        <v>126.98</v>
      </c>
      <c r="CT6" s="99">
        <v>117</v>
      </c>
    </row>
    <row r="7" spans="1:98" x14ac:dyDescent="0.25">
      <c r="A7" s="101">
        <v>9</v>
      </c>
      <c r="B7" s="101">
        <v>4</v>
      </c>
      <c r="C7" s="102">
        <v>16</v>
      </c>
      <c r="D7" s="102">
        <v>1</v>
      </c>
      <c r="E7" s="103" t="s">
        <v>194</v>
      </c>
      <c r="F7" s="103" t="s">
        <v>194</v>
      </c>
      <c r="G7" s="102">
        <v>55.8</v>
      </c>
      <c r="H7" s="105">
        <v>-993.79169300000001</v>
      </c>
      <c r="L7" s="68" t="s">
        <v>145</v>
      </c>
      <c r="M7" s="69">
        <f>AVERAGE(AN2:AN191)</f>
        <v>2.6970864736842102</v>
      </c>
      <c r="N7" s="69">
        <f>AVERAGE(CK2:CK191)</f>
        <v>134.85434210526313</v>
      </c>
      <c r="O7" s="69">
        <f>AVERAGE(BR2:BR191)</f>
        <v>0.21238652631578955</v>
      </c>
      <c r="V7" s="64">
        <v>6</v>
      </c>
      <c r="W7" s="99">
        <v>4802.4821270000002</v>
      </c>
      <c r="X7" s="99">
        <v>4701.685665</v>
      </c>
      <c r="Y7" s="99">
        <v>100.79646200000001</v>
      </c>
      <c r="AB7" s="64" t="s">
        <v>127</v>
      </c>
      <c r="AC7" s="65">
        <v>5</v>
      </c>
      <c r="AD7" s="99">
        <v>91.986099999999993</v>
      </c>
      <c r="AE7" s="99">
        <v>2.1922000000000001</v>
      </c>
      <c r="AF7" s="99">
        <v>117</v>
      </c>
      <c r="AG7" s="99">
        <v>41.96</v>
      </c>
      <c r="AH7" s="99" t="s">
        <v>143</v>
      </c>
      <c r="AI7" s="99">
        <v>0.3</v>
      </c>
      <c r="AJ7" s="99">
        <v>89.703900000000004</v>
      </c>
      <c r="AK7" s="99">
        <v>94.268299999999996</v>
      </c>
      <c r="AM7" s="64">
        <v>6</v>
      </c>
      <c r="AN7" s="99">
        <v>2.72322</v>
      </c>
      <c r="AO7" s="99">
        <v>6.9718999999999998</v>
      </c>
      <c r="AP7" s="99">
        <v>2.6158000000000001</v>
      </c>
      <c r="AQ7" s="99">
        <v>117</v>
      </c>
      <c r="AS7" s="64">
        <v>6</v>
      </c>
      <c r="AT7" s="99">
        <v>5.1805399999999997</v>
      </c>
      <c r="AU7" s="99">
        <v>6.9718999999999998</v>
      </c>
      <c r="AV7" s="99">
        <v>2.6158000000000001</v>
      </c>
      <c r="AW7" s="99">
        <v>117</v>
      </c>
      <c r="AZ7" s="64" t="s">
        <v>127</v>
      </c>
      <c r="BA7" s="65">
        <v>5</v>
      </c>
      <c r="BB7" s="99">
        <v>58.155000000000001</v>
      </c>
      <c r="BC7" s="99">
        <v>0.16389999999999999</v>
      </c>
      <c r="BD7" s="99">
        <v>133</v>
      </c>
      <c r="BE7" s="99">
        <v>354.87</v>
      </c>
      <c r="BF7" s="99" t="s">
        <v>143</v>
      </c>
      <c r="BG7" s="99">
        <v>0.3</v>
      </c>
      <c r="BH7" s="99">
        <v>57.984499999999997</v>
      </c>
      <c r="BI7" s="99">
        <v>58.325499999999998</v>
      </c>
      <c r="BK7" s="64">
        <v>6</v>
      </c>
      <c r="BL7" s="99">
        <v>0.40699000000000002</v>
      </c>
      <c r="BM7" s="99">
        <v>1.0363</v>
      </c>
      <c r="BN7" s="99">
        <v>0.20580000000000001</v>
      </c>
      <c r="BO7" s="99">
        <v>133</v>
      </c>
      <c r="BQ7" s="64">
        <v>6</v>
      </c>
      <c r="BR7" s="99">
        <v>0.21410000000000001</v>
      </c>
      <c r="BS7" s="99">
        <v>1.0363</v>
      </c>
      <c r="BT7" s="99">
        <v>0.20580000000000001</v>
      </c>
      <c r="BU7" s="99">
        <v>133</v>
      </c>
      <c r="BX7" s="64" t="s">
        <v>127</v>
      </c>
      <c r="BY7" s="65">
        <v>6</v>
      </c>
      <c r="BZ7" s="99">
        <v>4450.53</v>
      </c>
      <c r="CA7" s="99">
        <v>109.49</v>
      </c>
      <c r="CB7" s="99">
        <v>117</v>
      </c>
      <c r="CC7" s="99">
        <v>40.65</v>
      </c>
      <c r="CD7" s="99" t="s">
        <v>143</v>
      </c>
      <c r="CE7" s="99">
        <v>0.3</v>
      </c>
      <c r="CF7" s="99">
        <v>4336.55</v>
      </c>
      <c r="CG7" s="99">
        <v>4564.51</v>
      </c>
      <c r="CJ7" s="64">
        <v>6</v>
      </c>
      <c r="CK7" s="99">
        <v>136.161</v>
      </c>
      <c r="CL7" s="99">
        <v>348.59</v>
      </c>
      <c r="CM7" s="99">
        <v>130.79</v>
      </c>
      <c r="CN7" s="99">
        <v>117</v>
      </c>
      <c r="CP7" s="64">
        <v>6</v>
      </c>
      <c r="CQ7" s="99">
        <v>259.02699999999999</v>
      </c>
      <c r="CR7" s="99">
        <v>348.59</v>
      </c>
      <c r="CS7" s="99">
        <v>130.79</v>
      </c>
      <c r="CT7" s="99">
        <v>117</v>
      </c>
    </row>
    <row r="8" spans="1:98" x14ac:dyDescent="0.25">
      <c r="A8" s="106">
        <v>10</v>
      </c>
      <c r="B8" s="106">
        <v>4</v>
      </c>
      <c r="C8" s="107">
        <v>15</v>
      </c>
      <c r="D8" s="107">
        <v>1</v>
      </c>
      <c r="E8" s="103" t="s">
        <v>194</v>
      </c>
      <c r="F8" s="103" t="s">
        <v>194</v>
      </c>
      <c r="G8" s="102">
        <v>56</v>
      </c>
      <c r="H8" s="105">
        <v>-1716.1256149999999</v>
      </c>
      <c r="L8" s="68" t="s">
        <v>146</v>
      </c>
      <c r="M8" s="69">
        <f>AVERAGE(AT2:AT191)</f>
        <v>5.1308313157894743</v>
      </c>
      <c r="N8" s="69">
        <f>AVERAGE(CQ2:CQ191)</f>
        <v>256.54154736842099</v>
      </c>
      <c r="O8" s="69">
        <f>AVERAGE(BL2:BL191)</f>
        <v>0.40374510526315777</v>
      </c>
      <c r="V8" s="64">
        <v>7</v>
      </c>
      <c r="W8" s="99">
        <v>5007.0402439999998</v>
      </c>
      <c r="X8" s="99">
        <v>4827.252931</v>
      </c>
      <c r="Y8" s="99">
        <v>179.78731300000001</v>
      </c>
      <c r="AB8" s="64" t="s">
        <v>127</v>
      </c>
      <c r="AC8" s="65">
        <v>6</v>
      </c>
      <c r="AD8" s="99">
        <v>89.010599999999997</v>
      </c>
      <c r="AE8" s="99">
        <v>2.1897000000000002</v>
      </c>
      <c r="AF8" s="99">
        <v>117</v>
      </c>
      <c r="AG8" s="99">
        <v>40.65</v>
      </c>
      <c r="AH8" s="99" t="s">
        <v>143</v>
      </c>
      <c r="AI8" s="99">
        <v>0.3</v>
      </c>
      <c r="AJ8" s="99">
        <v>86.730999999999995</v>
      </c>
      <c r="AK8" s="99">
        <v>91.290199999999999</v>
      </c>
      <c r="AM8" s="64">
        <v>7</v>
      </c>
      <c r="AN8" s="99">
        <v>2.8169400000000002</v>
      </c>
      <c r="AO8" s="99">
        <v>10.0419</v>
      </c>
      <c r="AP8" s="99">
        <v>2.7059000000000002</v>
      </c>
      <c r="AQ8" s="99">
        <v>117</v>
      </c>
      <c r="AS8" s="64">
        <v>7</v>
      </c>
      <c r="AT8" s="99">
        <v>5.3588399999999998</v>
      </c>
      <c r="AU8" s="99">
        <v>10.0419</v>
      </c>
      <c r="AV8" s="99">
        <v>2.7059000000000002</v>
      </c>
      <c r="AW8" s="99">
        <v>117</v>
      </c>
      <c r="AZ8" s="64" t="s">
        <v>127</v>
      </c>
      <c r="BA8" s="65">
        <v>6</v>
      </c>
      <c r="BB8" s="99">
        <v>58.0426</v>
      </c>
      <c r="BC8" s="99">
        <v>0.16339999999999999</v>
      </c>
      <c r="BD8" s="99">
        <v>133</v>
      </c>
      <c r="BE8" s="99">
        <v>355.12</v>
      </c>
      <c r="BF8" s="99" t="s">
        <v>143</v>
      </c>
      <c r="BG8" s="99">
        <v>0.3</v>
      </c>
      <c r="BH8" s="99">
        <v>57.872599999999998</v>
      </c>
      <c r="BI8" s="99">
        <v>58.212699999999998</v>
      </c>
      <c r="BK8" s="64">
        <v>7</v>
      </c>
      <c r="BL8" s="99">
        <v>0.41105999999999998</v>
      </c>
      <c r="BM8" s="99">
        <v>0.3221</v>
      </c>
      <c r="BN8" s="99">
        <v>0.20780000000000001</v>
      </c>
      <c r="BO8" s="99">
        <v>133</v>
      </c>
      <c r="BQ8" s="64">
        <v>7</v>
      </c>
      <c r="BR8" s="99">
        <v>0.21623000000000001</v>
      </c>
      <c r="BS8" s="99">
        <v>0.3221</v>
      </c>
      <c r="BT8" s="99">
        <v>0.20780000000000001</v>
      </c>
      <c r="BU8" s="99">
        <v>133</v>
      </c>
      <c r="BX8" s="64" t="s">
        <v>127</v>
      </c>
      <c r="BY8" s="65">
        <v>7</v>
      </c>
      <c r="BZ8" s="99">
        <v>4539.2</v>
      </c>
      <c r="CA8" s="99">
        <v>114.31</v>
      </c>
      <c r="CB8" s="99">
        <v>117</v>
      </c>
      <c r="CC8" s="99">
        <v>39.71</v>
      </c>
      <c r="CD8" s="99" t="s">
        <v>143</v>
      </c>
      <c r="CE8" s="99">
        <v>0.3</v>
      </c>
      <c r="CF8" s="99">
        <v>4420.2</v>
      </c>
      <c r="CG8" s="99">
        <v>4658.21</v>
      </c>
      <c r="CJ8" s="64">
        <v>7</v>
      </c>
      <c r="CK8" s="99">
        <v>140.84700000000001</v>
      </c>
      <c r="CL8" s="99">
        <v>502.09</v>
      </c>
      <c r="CM8" s="99">
        <v>135.29</v>
      </c>
      <c r="CN8" s="99">
        <v>117</v>
      </c>
      <c r="CP8" s="64">
        <v>7</v>
      </c>
      <c r="CQ8" s="99">
        <v>267.94200000000001</v>
      </c>
      <c r="CR8" s="99">
        <v>502.09</v>
      </c>
      <c r="CS8" s="99">
        <v>135.29</v>
      </c>
      <c r="CT8" s="99">
        <v>117</v>
      </c>
    </row>
    <row r="9" spans="1:98" x14ac:dyDescent="0.25">
      <c r="A9" s="101">
        <v>11</v>
      </c>
      <c r="B9" s="101">
        <v>1</v>
      </c>
      <c r="C9" s="102">
        <v>3</v>
      </c>
      <c r="D9" s="102">
        <v>1</v>
      </c>
      <c r="E9" s="103" t="s">
        <v>194</v>
      </c>
      <c r="F9" s="103" t="s">
        <v>194</v>
      </c>
      <c r="G9" s="102">
        <v>58.7</v>
      </c>
      <c r="H9" s="105">
        <v>-335.75550099999998</v>
      </c>
      <c r="L9" s="68" t="s">
        <v>147</v>
      </c>
      <c r="M9" s="70">
        <f>AE26</f>
        <v>2.5215163661925786</v>
      </c>
      <c r="N9" s="70">
        <f>AE26</f>
        <v>2.5215163661925786</v>
      </c>
      <c r="O9" s="70">
        <f>BC26</f>
        <v>0.28285865641013497</v>
      </c>
      <c r="V9" s="64">
        <v>8</v>
      </c>
      <c r="W9" s="99">
        <v>4356</v>
      </c>
      <c r="X9" s="99">
        <v>4388.0066020000004</v>
      </c>
      <c r="Y9" s="100">
        <v>-32.006602000000001</v>
      </c>
      <c r="AB9" s="64" t="s">
        <v>127</v>
      </c>
      <c r="AC9" s="65">
        <v>7</v>
      </c>
      <c r="AD9" s="99">
        <v>90.784000000000006</v>
      </c>
      <c r="AE9" s="99">
        <v>2.2863000000000002</v>
      </c>
      <c r="AF9" s="99">
        <v>117</v>
      </c>
      <c r="AG9" s="99">
        <v>39.71</v>
      </c>
      <c r="AH9" s="99" t="s">
        <v>143</v>
      </c>
      <c r="AI9" s="99">
        <v>0.3</v>
      </c>
      <c r="AJ9" s="99">
        <v>88.403899999999993</v>
      </c>
      <c r="AK9" s="99">
        <v>93.164100000000005</v>
      </c>
      <c r="AM9" s="64">
        <v>8</v>
      </c>
      <c r="AN9" s="99">
        <v>2.7696000000000001</v>
      </c>
      <c r="AO9" s="99">
        <v>17.358499999999999</v>
      </c>
      <c r="AP9" s="99">
        <v>2.6604000000000001</v>
      </c>
      <c r="AQ9" s="99">
        <v>117</v>
      </c>
      <c r="AS9" s="64">
        <v>8</v>
      </c>
      <c r="AT9" s="99">
        <v>5.2687900000000001</v>
      </c>
      <c r="AU9" s="99">
        <v>17.358499999999999</v>
      </c>
      <c r="AV9" s="99">
        <v>2.6604000000000001</v>
      </c>
      <c r="AW9" s="99">
        <v>117</v>
      </c>
      <c r="AZ9" s="64" t="s">
        <v>127</v>
      </c>
      <c r="BA9" s="65">
        <v>7</v>
      </c>
      <c r="BB9" s="99">
        <v>57.295900000000003</v>
      </c>
      <c r="BC9" s="99">
        <v>0.16350000000000001</v>
      </c>
      <c r="BD9" s="99">
        <v>133</v>
      </c>
      <c r="BE9" s="99">
        <v>350.43</v>
      </c>
      <c r="BF9" s="99" t="s">
        <v>143</v>
      </c>
      <c r="BG9" s="99">
        <v>0.3</v>
      </c>
      <c r="BH9" s="99">
        <v>57.125799999999998</v>
      </c>
      <c r="BI9" s="99">
        <v>57.466000000000001</v>
      </c>
      <c r="BK9" s="64">
        <v>8</v>
      </c>
      <c r="BL9" s="99">
        <v>0.40598000000000001</v>
      </c>
      <c r="BM9" s="99">
        <v>1.2722</v>
      </c>
      <c r="BN9" s="99">
        <v>0.20530000000000001</v>
      </c>
      <c r="BO9" s="99">
        <v>133</v>
      </c>
      <c r="BQ9" s="64">
        <v>8</v>
      </c>
      <c r="BR9" s="99">
        <v>0.21356</v>
      </c>
      <c r="BS9" s="99">
        <v>1.2722</v>
      </c>
      <c r="BT9" s="99">
        <v>0.20530000000000001</v>
      </c>
      <c r="BU9" s="99">
        <v>133</v>
      </c>
      <c r="BX9" s="64" t="s">
        <v>127</v>
      </c>
      <c r="BY9" s="65">
        <v>8</v>
      </c>
      <c r="BZ9" s="99">
        <v>4385.7</v>
      </c>
      <c r="CA9" s="99">
        <v>114.47</v>
      </c>
      <c r="CB9" s="99">
        <v>117</v>
      </c>
      <c r="CC9" s="99">
        <v>38.31</v>
      </c>
      <c r="CD9" s="99" t="s">
        <v>143</v>
      </c>
      <c r="CE9" s="99">
        <v>0.3</v>
      </c>
      <c r="CF9" s="99">
        <v>4266.54</v>
      </c>
      <c r="CG9" s="99">
        <v>4504.87</v>
      </c>
      <c r="CJ9" s="64">
        <v>8</v>
      </c>
      <c r="CK9" s="99">
        <v>138.47999999999999</v>
      </c>
      <c r="CL9" s="99">
        <v>867.92</v>
      </c>
      <c r="CM9" s="99">
        <v>133.02000000000001</v>
      </c>
      <c r="CN9" s="99">
        <v>117</v>
      </c>
      <c r="CP9" s="64">
        <v>8</v>
      </c>
      <c r="CQ9" s="99">
        <v>263.43900000000002</v>
      </c>
      <c r="CR9" s="99">
        <v>867.92</v>
      </c>
      <c r="CS9" s="99">
        <v>133.02000000000001</v>
      </c>
      <c r="CT9" s="99">
        <v>117</v>
      </c>
    </row>
    <row r="10" spans="1:98" x14ac:dyDescent="0.25">
      <c r="A10" s="101">
        <v>12</v>
      </c>
      <c r="B10" s="106">
        <v>3</v>
      </c>
      <c r="C10" s="107">
        <v>12</v>
      </c>
      <c r="D10" s="107">
        <v>1</v>
      </c>
      <c r="E10" s="103" t="s">
        <v>194</v>
      </c>
      <c r="F10" s="103" t="s">
        <v>194</v>
      </c>
      <c r="G10" s="102">
        <v>56.6</v>
      </c>
      <c r="H10" s="105">
        <v>-1206.7311580000001</v>
      </c>
      <c r="V10" s="64">
        <v>9</v>
      </c>
      <c r="W10" s="99">
        <v>4074.3111090000002</v>
      </c>
      <c r="X10" s="99">
        <v>4290.915094</v>
      </c>
      <c r="Y10" s="100">
        <v>-216.60398499999999</v>
      </c>
      <c r="AB10" s="64" t="s">
        <v>127</v>
      </c>
      <c r="AC10" s="65">
        <v>8</v>
      </c>
      <c r="AD10" s="99">
        <v>87.714100000000002</v>
      </c>
      <c r="AE10" s="99">
        <v>2.2892999999999999</v>
      </c>
      <c r="AF10" s="99">
        <v>117</v>
      </c>
      <c r="AG10" s="99">
        <v>38.31</v>
      </c>
      <c r="AH10" s="99" t="s">
        <v>143</v>
      </c>
      <c r="AI10" s="99">
        <v>0.3</v>
      </c>
      <c r="AJ10" s="99">
        <v>85.330799999999996</v>
      </c>
      <c r="AK10" s="99">
        <v>90.097300000000004</v>
      </c>
      <c r="AM10" s="64">
        <v>9</v>
      </c>
      <c r="AN10" s="99">
        <v>2.7256300000000002</v>
      </c>
      <c r="AO10" s="100">
        <v>-1.1278999999999999</v>
      </c>
      <c r="AP10" s="99">
        <v>2.6181999999999999</v>
      </c>
      <c r="AQ10" s="99">
        <v>117</v>
      </c>
      <c r="AS10" s="64">
        <v>9</v>
      </c>
      <c r="AT10" s="99">
        <v>5.1851200000000004</v>
      </c>
      <c r="AU10" s="100">
        <v>-1.1278999999999999</v>
      </c>
      <c r="AV10" s="99">
        <v>2.6181999999999999</v>
      </c>
      <c r="AW10" s="99">
        <v>117</v>
      </c>
      <c r="AZ10" s="64" t="s">
        <v>127</v>
      </c>
      <c r="BA10" s="65">
        <v>8</v>
      </c>
      <c r="BB10" s="99">
        <v>58.010100000000001</v>
      </c>
      <c r="BC10" s="99">
        <v>0.16420000000000001</v>
      </c>
      <c r="BD10" s="99">
        <v>133</v>
      </c>
      <c r="BE10" s="99">
        <v>353.29</v>
      </c>
      <c r="BF10" s="99" t="s">
        <v>143</v>
      </c>
      <c r="BG10" s="99">
        <v>0.3</v>
      </c>
      <c r="BH10" s="99">
        <v>57.839300000000001</v>
      </c>
      <c r="BI10" s="99">
        <v>58.180999999999997</v>
      </c>
      <c r="BK10" s="64">
        <v>9</v>
      </c>
      <c r="BL10" s="99">
        <v>0.40071000000000001</v>
      </c>
      <c r="BM10" s="99">
        <v>2.1061999999999999</v>
      </c>
      <c r="BN10" s="99">
        <v>0.2026</v>
      </c>
      <c r="BO10" s="99">
        <v>133</v>
      </c>
      <c r="BQ10" s="64">
        <v>9</v>
      </c>
      <c r="BR10" s="99">
        <v>0.21079000000000001</v>
      </c>
      <c r="BS10" s="99">
        <v>2.1061999999999999</v>
      </c>
      <c r="BT10" s="99">
        <v>0.2026</v>
      </c>
      <c r="BU10" s="99">
        <v>133</v>
      </c>
      <c r="BX10" s="64" t="s">
        <v>127</v>
      </c>
      <c r="BY10" s="65">
        <v>9</v>
      </c>
      <c r="BZ10" s="99">
        <v>4019.87</v>
      </c>
      <c r="CA10" s="99">
        <v>114.28</v>
      </c>
      <c r="CB10" s="99">
        <v>117</v>
      </c>
      <c r="CC10" s="99">
        <v>35.18</v>
      </c>
      <c r="CD10" s="99" t="s">
        <v>143</v>
      </c>
      <c r="CE10" s="99">
        <v>0.3</v>
      </c>
      <c r="CF10" s="99">
        <v>3900.9</v>
      </c>
      <c r="CG10" s="99">
        <v>4138.84</v>
      </c>
      <c r="CJ10" s="64">
        <v>9</v>
      </c>
      <c r="CK10" s="99">
        <v>136.28100000000001</v>
      </c>
      <c r="CL10" s="100">
        <v>-56.395699999999998</v>
      </c>
      <c r="CM10" s="99">
        <v>130.91</v>
      </c>
      <c r="CN10" s="99">
        <v>117</v>
      </c>
      <c r="CP10" s="64">
        <v>9</v>
      </c>
      <c r="CQ10" s="99">
        <v>259.25599999999997</v>
      </c>
      <c r="CR10" s="100">
        <v>-56.395699999999998</v>
      </c>
      <c r="CS10" s="99">
        <v>130.91</v>
      </c>
      <c r="CT10" s="99">
        <v>117</v>
      </c>
    </row>
    <row r="11" spans="1:98" x14ac:dyDescent="0.25">
      <c r="A11" s="101">
        <v>13</v>
      </c>
      <c r="B11" s="101">
        <v>4</v>
      </c>
      <c r="C11" s="102">
        <v>14</v>
      </c>
      <c r="D11" s="102">
        <v>1</v>
      </c>
      <c r="E11" s="103" t="s">
        <v>194</v>
      </c>
      <c r="F11" s="103" t="s">
        <v>194</v>
      </c>
      <c r="G11" s="102">
        <v>57.3</v>
      </c>
      <c r="H11" s="105">
        <v>-414.79431399999999</v>
      </c>
      <c r="V11" s="64">
        <v>10</v>
      </c>
      <c r="W11" s="99">
        <v>4786.3598679999996</v>
      </c>
      <c r="X11" s="99">
        <v>4359.8173859999997</v>
      </c>
      <c r="Y11" s="99">
        <v>426.54248200000001</v>
      </c>
      <c r="AB11" s="64" t="s">
        <v>127</v>
      </c>
      <c r="AC11" s="65">
        <v>9</v>
      </c>
      <c r="AD11" s="99">
        <v>80.397499999999994</v>
      </c>
      <c r="AE11" s="99">
        <v>2.2856000000000001</v>
      </c>
      <c r="AF11" s="99">
        <v>117</v>
      </c>
      <c r="AG11" s="99">
        <v>35.18</v>
      </c>
      <c r="AH11" s="99" t="s">
        <v>143</v>
      </c>
      <c r="AI11" s="99">
        <v>0.3</v>
      </c>
      <c r="AJ11" s="99">
        <v>78.018000000000001</v>
      </c>
      <c r="AK11" s="99">
        <v>82.776899999999998</v>
      </c>
      <c r="AM11" s="64">
        <v>10</v>
      </c>
      <c r="AN11" s="99">
        <v>2.71787</v>
      </c>
      <c r="AO11" s="99">
        <v>13.398300000000001</v>
      </c>
      <c r="AP11" s="99">
        <v>2.6107</v>
      </c>
      <c r="AQ11" s="99">
        <v>117</v>
      </c>
      <c r="AS11" s="64">
        <v>10</v>
      </c>
      <c r="AT11" s="99">
        <v>5.1703799999999998</v>
      </c>
      <c r="AU11" s="99">
        <v>13.398300000000001</v>
      </c>
      <c r="AV11" s="99">
        <v>2.6107</v>
      </c>
      <c r="AW11" s="99">
        <v>117</v>
      </c>
      <c r="AZ11" s="64" t="s">
        <v>127</v>
      </c>
      <c r="BA11" s="65">
        <v>9</v>
      </c>
      <c r="BB11" s="99">
        <v>57.06</v>
      </c>
      <c r="BC11" s="99">
        <v>0.1636</v>
      </c>
      <c r="BD11" s="99">
        <v>133</v>
      </c>
      <c r="BE11" s="99">
        <v>348.81</v>
      </c>
      <c r="BF11" s="99" t="s">
        <v>143</v>
      </c>
      <c r="BG11" s="99">
        <v>0.3</v>
      </c>
      <c r="BH11" s="99">
        <v>56.889800000000001</v>
      </c>
      <c r="BI11" s="99">
        <v>57.230200000000004</v>
      </c>
      <c r="BK11" s="64">
        <v>10</v>
      </c>
      <c r="BL11" s="99">
        <v>0.41006999999999999</v>
      </c>
      <c r="BM11" s="99">
        <v>0.68569999999999998</v>
      </c>
      <c r="BN11" s="99">
        <v>0.20730000000000001</v>
      </c>
      <c r="BO11" s="99">
        <v>133</v>
      </c>
      <c r="BQ11" s="64">
        <v>10</v>
      </c>
      <c r="BR11" s="99">
        <v>0.21571000000000001</v>
      </c>
      <c r="BS11" s="99">
        <v>0.68569999999999998</v>
      </c>
      <c r="BT11" s="99">
        <v>0.20730000000000001</v>
      </c>
      <c r="BU11" s="99">
        <v>133</v>
      </c>
      <c r="BX11" s="64" t="s">
        <v>127</v>
      </c>
      <c r="BY11" s="65">
        <v>10</v>
      </c>
      <c r="BZ11" s="99">
        <v>4944.1899999999996</v>
      </c>
      <c r="CA11" s="99">
        <v>114.77</v>
      </c>
      <c r="CB11" s="99">
        <v>117</v>
      </c>
      <c r="CC11" s="99">
        <v>43.08</v>
      </c>
      <c r="CD11" s="99" t="s">
        <v>143</v>
      </c>
      <c r="CE11" s="99">
        <v>0.3</v>
      </c>
      <c r="CF11" s="99">
        <v>4824.71</v>
      </c>
      <c r="CG11" s="99">
        <v>5063.68</v>
      </c>
      <c r="CJ11" s="64">
        <v>10</v>
      </c>
      <c r="CK11" s="99">
        <v>135.89400000000001</v>
      </c>
      <c r="CL11" s="99">
        <v>669.91</v>
      </c>
      <c r="CM11" s="99">
        <v>130.54</v>
      </c>
      <c r="CN11" s="99">
        <v>117</v>
      </c>
      <c r="CP11" s="64">
        <v>10</v>
      </c>
      <c r="CQ11" s="99">
        <v>258.51900000000001</v>
      </c>
      <c r="CR11" s="99">
        <v>669.91</v>
      </c>
      <c r="CS11" s="99">
        <v>130.54</v>
      </c>
      <c r="CT11" s="99">
        <v>117</v>
      </c>
    </row>
    <row r="12" spans="1:98" x14ac:dyDescent="0.25">
      <c r="A12" s="101">
        <v>14</v>
      </c>
      <c r="B12" s="101">
        <v>2</v>
      </c>
      <c r="C12" s="102">
        <v>6</v>
      </c>
      <c r="D12" s="102">
        <v>1</v>
      </c>
      <c r="E12" s="103" t="s">
        <v>194</v>
      </c>
      <c r="F12" s="103" t="s">
        <v>194</v>
      </c>
      <c r="G12" s="102">
        <v>58.5</v>
      </c>
      <c r="H12" s="105">
        <v>-336.06723899999997</v>
      </c>
      <c r="L12" s="61" t="s">
        <v>144</v>
      </c>
      <c r="V12" s="64">
        <v>11</v>
      </c>
      <c r="W12" s="99">
        <v>4566.9863439999999</v>
      </c>
      <c r="X12" s="99">
        <v>4329.7724689999995</v>
      </c>
      <c r="Y12" s="99">
        <v>237.213875</v>
      </c>
      <c r="AB12" s="64" t="s">
        <v>127</v>
      </c>
      <c r="AC12" s="65">
        <v>10</v>
      </c>
      <c r="AD12" s="99">
        <v>98.883799999999994</v>
      </c>
      <c r="AE12" s="99">
        <v>2.2955000000000001</v>
      </c>
      <c r="AF12" s="99">
        <v>117</v>
      </c>
      <c r="AG12" s="99">
        <v>43.08</v>
      </c>
      <c r="AH12" s="99" t="s">
        <v>143</v>
      </c>
      <c r="AI12" s="99">
        <v>0.3</v>
      </c>
      <c r="AJ12" s="99">
        <v>96.494100000000003</v>
      </c>
      <c r="AK12" s="99">
        <v>101.27</v>
      </c>
      <c r="AM12" s="64">
        <v>11</v>
      </c>
      <c r="AN12" s="99">
        <v>2.7393100000000001</v>
      </c>
      <c r="AO12" s="99">
        <v>14.9725</v>
      </c>
      <c r="AP12" s="99">
        <v>2.6313</v>
      </c>
      <c r="AQ12" s="99">
        <v>117</v>
      </c>
      <c r="AS12" s="64">
        <v>11</v>
      </c>
      <c r="AT12" s="99">
        <v>5.2111599999999996</v>
      </c>
      <c r="AU12" s="99">
        <v>14.9725</v>
      </c>
      <c r="AV12" s="99">
        <v>2.6313</v>
      </c>
      <c r="AW12" s="99">
        <v>117</v>
      </c>
      <c r="AZ12" s="64" t="s">
        <v>127</v>
      </c>
      <c r="BA12" s="65">
        <v>10</v>
      </c>
      <c r="BB12" s="99">
        <v>56.225999999999999</v>
      </c>
      <c r="BC12" s="99">
        <v>0.16350000000000001</v>
      </c>
      <c r="BD12" s="99">
        <v>133</v>
      </c>
      <c r="BE12" s="99">
        <v>343.8</v>
      </c>
      <c r="BF12" s="99" t="s">
        <v>143</v>
      </c>
      <c r="BG12" s="99">
        <v>0.3</v>
      </c>
      <c r="BH12" s="99">
        <v>56.055900000000001</v>
      </c>
      <c r="BI12" s="99">
        <v>56.3962</v>
      </c>
      <c r="BK12" s="64">
        <v>11</v>
      </c>
      <c r="BL12" s="99">
        <v>0.40221000000000001</v>
      </c>
      <c r="BM12" s="99">
        <v>1.0703</v>
      </c>
      <c r="BN12" s="99">
        <v>0.20330000000000001</v>
      </c>
      <c r="BO12" s="99">
        <v>133</v>
      </c>
      <c r="BQ12" s="64">
        <v>11</v>
      </c>
      <c r="BR12" s="99">
        <v>0.21157999999999999</v>
      </c>
      <c r="BS12" s="99">
        <v>1.0703</v>
      </c>
      <c r="BT12" s="99">
        <v>0.20330000000000001</v>
      </c>
      <c r="BU12" s="99">
        <v>133</v>
      </c>
      <c r="BX12" s="64" t="s">
        <v>127</v>
      </c>
      <c r="BY12" s="65">
        <v>11</v>
      </c>
      <c r="BZ12" s="99">
        <v>4217.88</v>
      </c>
      <c r="CA12" s="99">
        <v>113.9</v>
      </c>
      <c r="CB12" s="99">
        <v>117</v>
      </c>
      <c r="CC12" s="99">
        <v>37.03</v>
      </c>
      <c r="CD12" s="99" t="s">
        <v>143</v>
      </c>
      <c r="CE12" s="99">
        <v>0.3</v>
      </c>
      <c r="CF12" s="99">
        <v>4099.3100000000004</v>
      </c>
      <c r="CG12" s="99">
        <v>4336.46</v>
      </c>
      <c r="CJ12" s="64">
        <v>11</v>
      </c>
      <c r="CK12" s="99">
        <v>136.96600000000001</v>
      </c>
      <c r="CL12" s="99">
        <v>748.63</v>
      </c>
      <c r="CM12" s="99">
        <v>131.57</v>
      </c>
      <c r="CN12" s="99">
        <v>117</v>
      </c>
      <c r="CP12" s="64">
        <v>11</v>
      </c>
      <c r="CQ12" s="99">
        <v>260.55799999999999</v>
      </c>
      <c r="CR12" s="99">
        <v>748.63</v>
      </c>
      <c r="CS12" s="99">
        <v>131.57</v>
      </c>
      <c r="CT12" s="99">
        <v>117</v>
      </c>
    </row>
    <row r="13" spans="1:98" x14ac:dyDescent="0.25">
      <c r="A13" s="101">
        <v>15</v>
      </c>
      <c r="B13" s="101">
        <v>1</v>
      </c>
      <c r="C13" s="102">
        <v>1</v>
      </c>
      <c r="D13" s="102">
        <v>1</v>
      </c>
      <c r="E13" s="103" t="s">
        <v>194</v>
      </c>
      <c r="F13" s="103" t="s">
        <v>194</v>
      </c>
      <c r="G13" s="102">
        <v>56.9</v>
      </c>
      <c r="H13" s="108">
        <v>186.88591400000001</v>
      </c>
      <c r="L13" s="71" t="s">
        <v>148</v>
      </c>
      <c r="M13" s="72" t="s">
        <v>149</v>
      </c>
      <c r="N13" s="73" t="s">
        <v>150</v>
      </c>
      <c r="O13" s="72" t="s">
        <v>151</v>
      </c>
      <c r="P13" s="74" t="s">
        <v>152</v>
      </c>
      <c r="V13" s="64">
        <v>12</v>
      </c>
      <c r="W13" s="99">
        <v>4528.1863599999997</v>
      </c>
      <c r="X13" s="99">
        <v>4347.2316199999996</v>
      </c>
      <c r="Y13" s="99">
        <v>180.95473999999999</v>
      </c>
      <c r="AB13" s="64" t="s">
        <v>127</v>
      </c>
      <c r="AC13" s="65">
        <v>11</v>
      </c>
      <c r="AD13" s="99">
        <v>84.357699999999994</v>
      </c>
      <c r="AE13" s="99">
        <v>2.278</v>
      </c>
      <c r="AF13" s="99">
        <v>117</v>
      </c>
      <c r="AG13" s="99">
        <v>37.03</v>
      </c>
      <c r="AH13" s="99" t="s">
        <v>143</v>
      </c>
      <c r="AI13" s="99">
        <v>0.3</v>
      </c>
      <c r="AJ13" s="99">
        <v>81.986199999999997</v>
      </c>
      <c r="AK13" s="99">
        <v>86.729200000000006</v>
      </c>
      <c r="AM13" s="64">
        <v>12</v>
      </c>
      <c r="AN13" s="99">
        <v>2.8010299999999999</v>
      </c>
      <c r="AO13" s="99">
        <v>20.559899999999999</v>
      </c>
      <c r="AP13" s="99">
        <v>2.6905999999999999</v>
      </c>
      <c r="AQ13" s="99">
        <v>117</v>
      </c>
      <c r="AS13" s="64">
        <v>12</v>
      </c>
      <c r="AT13" s="99">
        <v>5.32857</v>
      </c>
      <c r="AU13" s="99">
        <v>20.559899999999999</v>
      </c>
      <c r="AV13" s="99">
        <v>2.6905999999999999</v>
      </c>
      <c r="AW13" s="99">
        <v>117</v>
      </c>
      <c r="AZ13" s="64" t="s">
        <v>127</v>
      </c>
      <c r="BA13" s="65">
        <v>11</v>
      </c>
      <c r="BB13" s="99">
        <v>57.646500000000003</v>
      </c>
      <c r="BC13" s="99">
        <v>0.16350000000000001</v>
      </c>
      <c r="BD13" s="99">
        <v>133</v>
      </c>
      <c r="BE13" s="99">
        <v>352.68</v>
      </c>
      <c r="BF13" s="99" t="s">
        <v>143</v>
      </c>
      <c r="BG13" s="99">
        <v>0.3</v>
      </c>
      <c r="BH13" s="99">
        <v>57.476500000000001</v>
      </c>
      <c r="BI13" s="99">
        <v>57.816600000000001</v>
      </c>
      <c r="BK13" s="64">
        <v>12</v>
      </c>
      <c r="BL13" s="99">
        <v>0.41220000000000001</v>
      </c>
      <c r="BM13" s="99">
        <v>1.0624</v>
      </c>
      <c r="BN13" s="99">
        <v>0.2084</v>
      </c>
      <c r="BO13" s="99">
        <v>133</v>
      </c>
      <c r="BQ13" s="64">
        <v>12</v>
      </c>
      <c r="BR13" s="99">
        <v>0.21684</v>
      </c>
      <c r="BS13" s="99">
        <v>1.0624</v>
      </c>
      <c r="BT13" s="99">
        <v>0.2084</v>
      </c>
      <c r="BU13" s="99">
        <v>133</v>
      </c>
      <c r="BX13" s="64" t="s">
        <v>127</v>
      </c>
      <c r="BY13" s="65">
        <v>12</v>
      </c>
      <c r="BZ13" s="99">
        <v>4139.17</v>
      </c>
      <c r="CA13" s="99">
        <v>114.37</v>
      </c>
      <c r="CB13" s="99">
        <v>117</v>
      </c>
      <c r="CC13" s="99">
        <v>36.19</v>
      </c>
      <c r="CD13" s="99" t="s">
        <v>143</v>
      </c>
      <c r="CE13" s="99">
        <v>0.3</v>
      </c>
      <c r="CF13" s="99">
        <v>4020.11</v>
      </c>
      <c r="CG13" s="99">
        <v>4258.2299999999996</v>
      </c>
      <c r="CJ13" s="64">
        <v>12</v>
      </c>
      <c r="CK13" s="99">
        <v>140.05099999999999</v>
      </c>
      <c r="CL13" s="99">
        <v>1027.99</v>
      </c>
      <c r="CM13" s="99">
        <v>134.53</v>
      </c>
      <c r="CN13" s="99">
        <v>117</v>
      </c>
      <c r="CP13" s="64">
        <v>12</v>
      </c>
      <c r="CQ13" s="99">
        <v>266.428</v>
      </c>
      <c r="CR13" s="99">
        <v>1027.99</v>
      </c>
      <c r="CS13" s="99">
        <v>134.53</v>
      </c>
      <c r="CT13" s="99">
        <v>117</v>
      </c>
    </row>
    <row r="14" spans="1:98" x14ac:dyDescent="0.25">
      <c r="A14" s="101">
        <v>16</v>
      </c>
      <c r="B14" s="106">
        <v>2</v>
      </c>
      <c r="C14" s="107">
        <v>8</v>
      </c>
      <c r="D14" s="107">
        <v>1</v>
      </c>
      <c r="E14" s="103" t="s">
        <v>194</v>
      </c>
      <c r="F14" s="103" t="s">
        <v>194</v>
      </c>
      <c r="G14" s="102">
        <v>58.3</v>
      </c>
      <c r="H14" s="105">
        <v>-1229.746551</v>
      </c>
      <c r="L14" s="75" t="s">
        <v>153</v>
      </c>
      <c r="M14" s="76">
        <v>1798.1</v>
      </c>
      <c r="N14" s="76">
        <v>1798.2</v>
      </c>
      <c r="O14" s="76" t="s">
        <v>197</v>
      </c>
      <c r="P14" s="77">
        <v>111</v>
      </c>
      <c r="V14" s="64">
        <v>13</v>
      </c>
      <c r="W14" s="99">
        <v>3008.4553780000001</v>
      </c>
      <c r="X14" s="99">
        <v>4218.7879999999996</v>
      </c>
      <c r="Y14" s="100">
        <v>-1210.3326219999999</v>
      </c>
      <c r="AB14" s="64" t="s">
        <v>127</v>
      </c>
      <c r="AC14" s="65">
        <v>12</v>
      </c>
      <c r="AD14" s="99">
        <v>82.7834</v>
      </c>
      <c r="AE14" s="99">
        <v>2.2873000000000001</v>
      </c>
      <c r="AF14" s="99">
        <v>117</v>
      </c>
      <c r="AG14" s="99">
        <v>36.19</v>
      </c>
      <c r="AH14" s="99" t="s">
        <v>143</v>
      </c>
      <c r="AI14" s="99">
        <v>0.3</v>
      </c>
      <c r="AJ14" s="99">
        <v>80.402199999999993</v>
      </c>
      <c r="AK14" s="99">
        <v>85.164599999999993</v>
      </c>
      <c r="AM14" s="64">
        <v>13</v>
      </c>
      <c r="AN14" s="99">
        <v>2.67008</v>
      </c>
      <c r="AO14" s="99">
        <v>16.699200000000001</v>
      </c>
      <c r="AP14" s="99">
        <v>2.5648</v>
      </c>
      <c r="AQ14" s="99">
        <v>117</v>
      </c>
      <c r="AS14" s="64">
        <v>13</v>
      </c>
      <c r="AT14" s="99">
        <v>5.0794499999999996</v>
      </c>
      <c r="AU14" s="99">
        <v>16.699200000000001</v>
      </c>
      <c r="AV14" s="99">
        <v>2.5648</v>
      </c>
      <c r="AW14" s="99">
        <v>117</v>
      </c>
      <c r="AZ14" s="64" t="s">
        <v>127</v>
      </c>
      <c r="BA14" s="65">
        <v>12</v>
      </c>
      <c r="BB14" s="99">
        <v>57.261899999999997</v>
      </c>
      <c r="BC14" s="99">
        <v>0.1628</v>
      </c>
      <c r="BD14" s="99">
        <v>133</v>
      </c>
      <c r="BE14" s="99">
        <v>351.81</v>
      </c>
      <c r="BF14" s="99" t="s">
        <v>143</v>
      </c>
      <c r="BG14" s="99">
        <v>0.3</v>
      </c>
      <c r="BH14" s="99">
        <v>57.092500000000001</v>
      </c>
      <c r="BI14" s="99">
        <v>57.431199999999997</v>
      </c>
      <c r="BK14" s="64">
        <v>13</v>
      </c>
      <c r="BL14" s="99">
        <v>0.39361000000000002</v>
      </c>
      <c r="BM14" s="99">
        <v>0.35239999999999999</v>
      </c>
      <c r="BN14" s="99">
        <v>0.19900000000000001</v>
      </c>
      <c r="BO14" s="99">
        <v>133</v>
      </c>
      <c r="BQ14" s="64">
        <v>13</v>
      </c>
      <c r="BR14" s="99">
        <v>0.20705999999999999</v>
      </c>
      <c r="BS14" s="99">
        <v>0.35239999999999999</v>
      </c>
      <c r="BT14" s="99">
        <v>0.19900000000000001</v>
      </c>
      <c r="BU14" s="99">
        <v>133</v>
      </c>
      <c r="BX14" s="64" t="s">
        <v>127</v>
      </c>
      <c r="BY14" s="65">
        <v>13</v>
      </c>
      <c r="BZ14" s="99">
        <v>3859.8</v>
      </c>
      <c r="CA14" s="99">
        <v>114.86</v>
      </c>
      <c r="CB14" s="99">
        <v>117</v>
      </c>
      <c r="CC14" s="99">
        <v>33.6</v>
      </c>
      <c r="CD14" s="99" t="s">
        <v>143</v>
      </c>
      <c r="CE14" s="99">
        <v>0.3</v>
      </c>
      <c r="CF14" s="99">
        <v>3740.23</v>
      </c>
      <c r="CG14" s="99">
        <v>3979.38</v>
      </c>
      <c r="CJ14" s="64">
        <v>13</v>
      </c>
      <c r="CK14" s="99">
        <v>133.50399999999999</v>
      </c>
      <c r="CL14" s="99">
        <v>834.96</v>
      </c>
      <c r="CM14" s="99">
        <v>128.24</v>
      </c>
      <c r="CN14" s="99">
        <v>117</v>
      </c>
      <c r="CP14" s="64">
        <v>13</v>
      </c>
      <c r="CQ14" s="99">
        <v>253.97300000000001</v>
      </c>
      <c r="CR14" s="99">
        <v>834.96</v>
      </c>
      <c r="CS14" s="99">
        <v>128.24</v>
      </c>
      <c r="CT14" s="99">
        <v>117</v>
      </c>
    </row>
    <row r="15" spans="1:98" x14ac:dyDescent="0.25">
      <c r="A15" s="101">
        <v>17</v>
      </c>
      <c r="B15" s="101">
        <v>1</v>
      </c>
      <c r="C15" s="102">
        <v>2</v>
      </c>
      <c r="D15" s="102">
        <v>1</v>
      </c>
      <c r="E15" s="103" t="s">
        <v>194</v>
      </c>
      <c r="F15" s="103" t="s">
        <v>194</v>
      </c>
      <c r="G15" s="102">
        <v>58.3</v>
      </c>
      <c r="H15" s="105">
        <v>-660.97140400000001</v>
      </c>
      <c r="L15" s="109" t="s">
        <v>154</v>
      </c>
      <c r="M15" s="110">
        <v>1796</v>
      </c>
      <c r="N15" s="110">
        <v>1795.9</v>
      </c>
      <c r="O15" s="111" t="s">
        <v>197</v>
      </c>
      <c r="P15" s="113">
        <v>112</v>
      </c>
      <c r="V15" s="64">
        <v>14</v>
      </c>
      <c r="W15" s="99">
        <v>4553.703109</v>
      </c>
      <c r="X15" s="99">
        <v>4324.216625</v>
      </c>
      <c r="Y15" s="99">
        <v>229.48648399999999</v>
      </c>
      <c r="AB15" s="64" t="s">
        <v>127</v>
      </c>
      <c r="AC15" s="65">
        <v>13</v>
      </c>
      <c r="AD15" s="99">
        <v>77.195999999999998</v>
      </c>
      <c r="AE15" s="99">
        <v>2.2972000000000001</v>
      </c>
      <c r="AF15" s="99">
        <v>117</v>
      </c>
      <c r="AG15" s="99">
        <v>33.6</v>
      </c>
      <c r="AH15" s="99" t="s">
        <v>143</v>
      </c>
      <c r="AI15" s="99">
        <v>0.3</v>
      </c>
      <c r="AJ15" s="99">
        <v>74.804599999999994</v>
      </c>
      <c r="AK15" s="99">
        <v>79.587500000000006</v>
      </c>
      <c r="AM15" s="64">
        <v>14</v>
      </c>
      <c r="AN15" s="99">
        <v>2.7827500000000001</v>
      </c>
      <c r="AO15" s="99">
        <v>2.4411999999999998</v>
      </c>
      <c r="AP15" s="99">
        <v>2.673</v>
      </c>
      <c r="AQ15" s="99">
        <v>117</v>
      </c>
      <c r="AS15" s="64">
        <v>14</v>
      </c>
      <c r="AT15" s="99">
        <v>5.2937900000000004</v>
      </c>
      <c r="AU15" s="99">
        <v>2.4411999999999998</v>
      </c>
      <c r="AV15" s="99">
        <v>2.673</v>
      </c>
      <c r="AW15" s="99">
        <v>117</v>
      </c>
      <c r="AZ15" s="64" t="s">
        <v>127</v>
      </c>
      <c r="BA15" s="65">
        <v>13</v>
      </c>
      <c r="BB15" s="99">
        <v>57.269799999999996</v>
      </c>
      <c r="BC15" s="99">
        <v>0.16389999999999999</v>
      </c>
      <c r="BD15" s="99">
        <v>133</v>
      </c>
      <c r="BE15" s="99">
        <v>349.39</v>
      </c>
      <c r="BF15" s="99" t="s">
        <v>143</v>
      </c>
      <c r="BG15" s="99">
        <v>0.3</v>
      </c>
      <c r="BH15" s="99">
        <v>57.099299999999999</v>
      </c>
      <c r="BI15" s="99">
        <v>57.440399999999997</v>
      </c>
      <c r="BK15" s="64">
        <v>14</v>
      </c>
      <c r="BL15" s="99">
        <v>0.4042</v>
      </c>
      <c r="BM15" s="99">
        <v>5.5379999999999999E-2</v>
      </c>
      <c r="BN15" s="99">
        <v>0.20430000000000001</v>
      </c>
      <c r="BO15" s="99">
        <v>133</v>
      </c>
      <c r="BQ15" s="64">
        <v>14</v>
      </c>
      <c r="BR15" s="99">
        <v>0.21262</v>
      </c>
      <c r="BS15" s="99">
        <v>5.5379999999999999E-2</v>
      </c>
      <c r="BT15" s="99">
        <v>0.20430000000000001</v>
      </c>
      <c r="BU15" s="99">
        <v>133</v>
      </c>
      <c r="BX15" s="64" t="s">
        <v>127</v>
      </c>
      <c r="BY15" s="65">
        <v>14</v>
      </c>
      <c r="BZ15" s="99">
        <v>4052.84</v>
      </c>
      <c r="CA15" s="99">
        <v>113.64</v>
      </c>
      <c r="CB15" s="99">
        <v>117</v>
      </c>
      <c r="CC15" s="99">
        <v>35.659999999999997</v>
      </c>
      <c r="CD15" s="99" t="s">
        <v>143</v>
      </c>
      <c r="CE15" s="99">
        <v>0.3</v>
      </c>
      <c r="CF15" s="99">
        <v>3934.54</v>
      </c>
      <c r="CG15" s="99">
        <v>4171.1400000000003</v>
      </c>
      <c r="CJ15" s="64">
        <v>14</v>
      </c>
      <c r="CK15" s="99">
        <v>139.137</v>
      </c>
      <c r="CL15" s="99">
        <v>122.06</v>
      </c>
      <c r="CM15" s="99">
        <v>133.65</v>
      </c>
      <c r="CN15" s="99">
        <v>117</v>
      </c>
      <c r="CP15" s="64">
        <v>14</v>
      </c>
      <c r="CQ15" s="99">
        <v>264.69</v>
      </c>
      <c r="CR15" s="99">
        <v>122.06</v>
      </c>
      <c r="CS15" s="99">
        <v>133.65</v>
      </c>
      <c r="CT15" s="99">
        <v>117</v>
      </c>
    </row>
    <row r="16" spans="1:98" x14ac:dyDescent="0.25">
      <c r="A16" s="101">
        <v>18</v>
      </c>
      <c r="B16" s="101">
        <v>1</v>
      </c>
      <c r="C16" s="102">
        <v>4</v>
      </c>
      <c r="D16" s="102">
        <v>1</v>
      </c>
      <c r="E16" s="103" t="s">
        <v>194</v>
      </c>
      <c r="F16" s="103" t="s">
        <v>194</v>
      </c>
      <c r="G16" s="102">
        <v>58</v>
      </c>
      <c r="H16" s="105">
        <v>-912.17094799999995</v>
      </c>
      <c r="L16" s="78" t="s">
        <v>155</v>
      </c>
      <c r="M16" s="79">
        <v>1798</v>
      </c>
      <c r="N16" s="79">
        <v>1798.2</v>
      </c>
      <c r="O16" s="79" t="s">
        <v>197</v>
      </c>
      <c r="P16" s="77">
        <v>111</v>
      </c>
      <c r="V16" s="64">
        <v>15</v>
      </c>
      <c r="W16" s="99">
        <v>4654.2909470000004</v>
      </c>
      <c r="X16" s="99">
        <v>4344.3552659999996</v>
      </c>
      <c r="Y16" s="99">
        <v>309.93568099999999</v>
      </c>
      <c r="AB16" s="64" t="s">
        <v>127</v>
      </c>
      <c r="AC16" s="65">
        <v>14</v>
      </c>
      <c r="AD16" s="99">
        <v>81.056799999999996</v>
      </c>
      <c r="AE16" s="99">
        <v>2.2728000000000002</v>
      </c>
      <c r="AF16" s="99">
        <v>117</v>
      </c>
      <c r="AG16" s="99">
        <v>35.659999999999997</v>
      </c>
      <c r="AH16" s="99" t="s">
        <v>143</v>
      </c>
      <c r="AI16" s="99">
        <v>0.3</v>
      </c>
      <c r="AJ16" s="99">
        <v>78.690700000000007</v>
      </c>
      <c r="AK16" s="99">
        <v>83.422899999999998</v>
      </c>
      <c r="AM16" s="64">
        <v>15</v>
      </c>
      <c r="AN16" s="99">
        <v>2.7574999999999998</v>
      </c>
      <c r="AO16" s="99">
        <v>6.0297000000000001</v>
      </c>
      <c r="AP16" s="99">
        <v>2.6488</v>
      </c>
      <c r="AQ16" s="99">
        <v>117</v>
      </c>
      <c r="AS16" s="64">
        <v>15</v>
      </c>
      <c r="AT16" s="99">
        <v>5.2457500000000001</v>
      </c>
      <c r="AU16" s="99">
        <v>6.0297000000000001</v>
      </c>
      <c r="AV16" s="99">
        <v>2.6488</v>
      </c>
      <c r="AW16" s="99">
        <v>117</v>
      </c>
      <c r="AZ16" s="64" t="s">
        <v>127</v>
      </c>
      <c r="BA16" s="65">
        <v>14</v>
      </c>
      <c r="BB16" s="99">
        <v>57.979799999999997</v>
      </c>
      <c r="BC16" s="99">
        <v>0.16270000000000001</v>
      </c>
      <c r="BD16" s="99">
        <v>133</v>
      </c>
      <c r="BE16" s="99">
        <v>356.37</v>
      </c>
      <c r="BF16" s="99" t="s">
        <v>143</v>
      </c>
      <c r="BG16" s="99">
        <v>0.3</v>
      </c>
      <c r="BH16" s="99">
        <v>57.810499999999998</v>
      </c>
      <c r="BI16" s="99">
        <v>58.149099999999997</v>
      </c>
      <c r="BK16" s="64">
        <v>15</v>
      </c>
      <c r="BL16" s="99">
        <v>0.40342</v>
      </c>
      <c r="BM16" s="99">
        <v>0.17810000000000001</v>
      </c>
      <c r="BN16" s="99">
        <v>0.20399999999999999</v>
      </c>
      <c r="BO16" s="99">
        <v>133</v>
      </c>
      <c r="BQ16" s="64">
        <v>15</v>
      </c>
      <c r="BR16" s="99">
        <v>0.21221000000000001</v>
      </c>
      <c r="BS16" s="99">
        <v>0.17810000000000001</v>
      </c>
      <c r="BT16" s="99">
        <v>0.20399999999999999</v>
      </c>
      <c r="BU16" s="99">
        <v>133</v>
      </c>
      <c r="BX16" s="64" t="s">
        <v>127</v>
      </c>
      <c r="BY16" s="65">
        <v>15</v>
      </c>
      <c r="BZ16" s="99">
        <v>4765.74</v>
      </c>
      <c r="CA16" s="99">
        <v>114.54</v>
      </c>
      <c r="CB16" s="99">
        <v>117</v>
      </c>
      <c r="CC16" s="99">
        <v>41.61</v>
      </c>
      <c r="CD16" s="99" t="s">
        <v>143</v>
      </c>
      <c r="CE16" s="99">
        <v>0.3</v>
      </c>
      <c r="CF16" s="99">
        <v>4646.49</v>
      </c>
      <c r="CG16" s="99">
        <v>4884.9799999999996</v>
      </c>
      <c r="CJ16" s="64">
        <v>15</v>
      </c>
      <c r="CK16" s="99">
        <v>137.875</v>
      </c>
      <c r="CL16" s="99">
        <v>301.48</v>
      </c>
      <c r="CM16" s="99">
        <v>132.44</v>
      </c>
      <c r="CN16" s="99">
        <v>117</v>
      </c>
      <c r="CP16" s="64">
        <v>15</v>
      </c>
      <c r="CQ16" s="99">
        <v>262.28800000000001</v>
      </c>
      <c r="CR16" s="99">
        <v>301.48</v>
      </c>
      <c r="CS16" s="99">
        <v>132.44</v>
      </c>
      <c r="CT16" s="99">
        <v>117</v>
      </c>
    </row>
    <row r="17" spans="1:98" x14ac:dyDescent="0.25">
      <c r="A17" s="106">
        <v>19</v>
      </c>
      <c r="B17" s="106">
        <v>3</v>
      </c>
      <c r="C17" s="107">
        <v>11</v>
      </c>
      <c r="D17" s="107">
        <v>1</v>
      </c>
      <c r="E17" s="103" t="s">
        <v>194</v>
      </c>
      <c r="F17" s="103" t="s">
        <v>194</v>
      </c>
      <c r="G17" s="102">
        <v>58.2</v>
      </c>
      <c r="H17" s="105">
        <v>-1499.240677</v>
      </c>
      <c r="L17" s="75" t="s">
        <v>156</v>
      </c>
      <c r="M17" s="76">
        <v>1796.7</v>
      </c>
      <c r="N17" s="76">
        <v>1796.7</v>
      </c>
      <c r="O17" s="76" t="s">
        <v>197</v>
      </c>
      <c r="P17" s="77">
        <v>103</v>
      </c>
      <c r="V17" s="64">
        <v>16</v>
      </c>
      <c r="W17" s="99">
        <v>3947.9122819999998</v>
      </c>
      <c r="X17" s="99">
        <v>3905.108937</v>
      </c>
      <c r="Y17" s="99">
        <v>42.803345</v>
      </c>
      <c r="AB17" s="64" t="s">
        <v>127</v>
      </c>
      <c r="AC17" s="65">
        <v>15</v>
      </c>
      <c r="AD17" s="99">
        <v>95.314700000000002</v>
      </c>
      <c r="AE17" s="99">
        <v>2.2909000000000002</v>
      </c>
      <c r="AF17" s="99">
        <v>117</v>
      </c>
      <c r="AG17" s="99">
        <v>41.61</v>
      </c>
      <c r="AH17" s="99" t="s">
        <v>143</v>
      </c>
      <c r="AI17" s="99">
        <v>0.3</v>
      </c>
      <c r="AJ17" s="99">
        <v>92.9298</v>
      </c>
      <c r="AK17" s="99">
        <v>97.699600000000004</v>
      </c>
      <c r="AM17" s="64">
        <v>16</v>
      </c>
      <c r="AN17" s="99">
        <v>2.6605599999999998</v>
      </c>
      <c r="AO17" s="99">
        <v>12.2926</v>
      </c>
      <c r="AP17" s="99">
        <v>2.5556999999999999</v>
      </c>
      <c r="AQ17" s="99">
        <v>117</v>
      </c>
      <c r="AS17" s="64">
        <v>16</v>
      </c>
      <c r="AT17" s="99">
        <v>5.0613400000000004</v>
      </c>
      <c r="AU17" s="99">
        <v>12.2926</v>
      </c>
      <c r="AV17" s="99">
        <v>2.5556999999999999</v>
      </c>
      <c r="AW17" s="99">
        <v>117</v>
      </c>
      <c r="AZ17" s="64" t="s">
        <v>127</v>
      </c>
      <c r="BA17" s="65">
        <v>15</v>
      </c>
      <c r="BB17" s="99">
        <v>58.276800000000001</v>
      </c>
      <c r="BC17" s="99">
        <v>0.16350000000000001</v>
      </c>
      <c r="BD17" s="99">
        <v>133</v>
      </c>
      <c r="BE17" s="99">
        <v>356.49</v>
      </c>
      <c r="BF17" s="99" t="s">
        <v>143</v>
      </c>
      <c r="BG17" s="99">
        <v>0.3</v>
      </c>
      <c r="BH17" s="99">
        <v>58.106699999999996</v>
      </c>
      <c r="BI17" s="99">
        <v>58.446899999999999</v>
      </c>
      <c r="BK17" s="64">
        <v>16</v>
      </c>
      <c r="BL17" s="99">
        <v>0.40067000000000003</v>
      </c>
      <c r="BM17" s="99">
        <v>0.23880000000000001</v>
      </c>
      <c r="BN17" s="99">
        <v>0.2026</v>
      </c>
      <c r="BO17" s="99">
        <v>133</v>
      </c>
      <c r="BQ17" s="64">
        <v>16</v>
      </c>
      <c r="BR17" s="99">
        <v>0.21077000000000001</v>
      </c>
      <c r="BS17" s="99">
        <v>0.23880000000000001</v>
      </c>
      <c r="BT17" s="99">
        <v>0.2026</v>
      </c>
      <c r="BU17" s="99">
        <v>133</v>
      </c>
      <c r="BX17" s="64" t="s">
        <v>127</v>
      </c>
      <c r="BY17" s="65">
        <v>16</v>
      </c>
      <c r="BZ17" s="99">
        <v>4586.3100000000004</v>
      </c>
      <c r="CA17" s="99">
        <v>114.22</v>
      </c>
      <c r="CB17" s="99">
        <v>117</v>
      </c>
      <c r="CC17" s="99">
        <v>40.15</v>
      </c>
      <c r="CD17" s="99" t="s">
        <v>143</v>
      </c>
      <c r="CE17" s="99">
        <v>0.3</v>
      </c>
      <c r="CF17" s="99">
        <v>4467.3999999999996</v>
      </c>
      <c r="CG17" s="99">
        <v>4705.2299999999996</v>
      </c>
      <c r="CJ17" s="64">
        <v>16</v>
      </c>
      <c r="CK17" s="99">
        <v>133.02799999999999</v>
      </c>
      <c r="CL17" s="99">
        <v>614.63</v>
      </c>
      <c r="CM17" s="99">
        <v>127.78</v>
      </c>
      <c r="CN17" s="99">
        <v>117</v>
      </c>
      <c r="CP17" s="64">
        <v>16</v>
      </c>
      <c r="CQ17" s="99">
        <v>253.06700000000001</v>
      </c>
      <c r="CR17" s="99">
        <v>614.63</v>
      </c>
      <c r="CS17" s="99">
        <v>127.78</v>
      </c>
      <c r="CT17" s="99">
        <v>117</v>
      </c>
    </row>
    <row r="18" spans="1:98" x14ac:dyDescent="0.25">
      <c r="A18" s="1">
        <v>1</v>
      </c>
      <c r="B18" s="1">
        <v>3</v>
      </c>
      <c r="C18">
        <v>11</v>
      </c>
      <c r="D18">
        <v>2</v>
      </c>
      <c r="E18" s="61">
        <v>4802.4821270784805</v>
      </c>
      <c r="F18" s="61">
        <v>96.049642541569611</v>
      </c>
      <c r="G18">
        <v>58.3</v>
      </c>
      <c r="H18" s="99">
        <v>100.79646200000001</v>
      </c>
      <c r="L18" s="80" t="s">
        <v>157</v>
      </c>
      <c r="M18" s="81"/>
      <c r="N18" s="76"/>
      <c r="O18" s="76"/>
      <c r="P18" s="82"/>
      <c r="V18" s="64">
        <v>17</v>
      </c>
      <c r="W18" s="99">
        <v>4558.2094950000001</v>
      </c>
      <c r="X18" s="99">
        <v>4766.8925120000004</v>
      </c>
      <c r="Y18" s="100">
        <v>-208.68301700000001</v>
      </c>
      <c r="AB18" s="64" t="s">
        <v>127</v>
      </c>
      <c r="AC18" s="65">
        <v>16</v>
      </c>
      <c r="AD18" s="99">
        <v>91.726299999999995</v>
      </c>
      <c r="AE18" s="99">
        <v>2.2845</v>
      </c>
      <c r="AF18" s="99">
        <v>117</v>
      </c>
      <c r="AG18" s="99">
        <v>40.15</v>
      </c>
      <c r="AH18" s="99" t="s">
        <v>143</v>
      </c>
      <c r="AI18" s="99">
        <v>0.3</v>
      </c>
      <c r="AJ18" s="99">
        <v>89.347999999999999</v>
      </c>
      <c r="AK18" s="99">
        <v>94.104500000000002</v>
      </c>
      <c r="AM18" s="64">
        <v>17</v>
      </c>
      <c r="AN18" s="99">
        <v>2.7966099999999998</v>
      </c>
      <c r="AO18" s="100">
        <v>-2.282</v>
      </c>
      <c r="AP18" s="99">
        <v>2.6863000000000001</v>
      </c>
      <c r="AQ18" s="99">
        <v>117</v>
      </c>
      <c r="AS18" s="64">
        <v>17</v>
      </c>
      <c r="AT18" s="99">
        <v>5.3201599999999996</v>
      </c>
      <c r="AU18" s="100">
        <v>-2.282</v>
      </c>
      <c r="AV18" s="99">
        <v>2.6863000000000001</v>
      </c>
      <c r="AW18" s="99">
        <v>117</v>
      </c>
      <c r="AZ18" s="64" t="s">
        <v>127</v>
      </c>
      <c r="BA18" s="65">
        <v>16</v>
      </c>
      <c r="BB18" s="99">
        <v>58.1541</v>
      </c>
      <c r="BC18" s="99">
        <v>0.1636</v>
      </c>
      <c r="BD18" s="99">
        <v>133</v>
      </c>
      <c r="BE18" s="99">
        <v>355.51</v>
      </c>
      <c r="BF18" s="99" t="s">
        <v>143</v>
      </c>
      <c r="BG18" s="99">
        <v>0.3</v>
      </c>
      <c r="BH18" s="99">
        <v>57.983800000000002</v>
      </c>
      <c r="BI18" s="99">
        <v>58.324300000000001</v>
      </c>
      <c r="BK18" s="64">
        <v>17</v>
      </c>
      <c r="BL18" s="99">
        <v>0.40582000000000001</v>
      </c>
      <c r="BM18" s="99">
        <v>0.19980000000000001</v>
      </c>
      <c r="BN18" s="99">
        <v>0.20519999999999999</v>
      </c>
      <c r="BO18" s="99">
        <v>133</v>
      </c>
      <c r="BQ18" s="64">
        <v>17</v>
      </c>
      <c r="BR18" s="99">
        <v>0.21348</v>
      </c>
      <c r="BS18" s="99">
        <v>0.19980000000000001</v>
      </c>
      <c r="BT18" s="99">
        <v>0.20519999999999999</v>
      </c>
      <c r="BU18" s="99">
        <v>133</v>
      </c>
      <c r="BX18" s="64" t="s">
        <v>127</v>
      </c>
      <c r="BY18" s="65">
        <v>17</v>
      </c>
      <c r="BZ18" s="99">
        <v>4273.17</v>
      </c>
      <c r="CA18" s="99">
        <v>113.45</v>
      </c>
      <c r="CB18" s="99">
        <v>117</v>
      </c>
      <c r="CC18" s="99">
        <v>37.659999999999997</v>
      </c>
      <c r="CD18" s="99" t="s">
        <v>143</v>
      </c>
      <c r="CE18" s="99">
        <v>0.3</v>
      </c>
      <c r="CF18" s="99">
        <v>4155.0600000000004</v>
      </c>
      <c r="CG18" s="99">
        <v>4391.28</v>
      </c>
      <c r="CJ18" s="64">
        <v>17</v>
      </c>
      <c r="CK18" s="99">
        <v>139.83000000000001</v>
      </c>
      <c r="CL18" s="100">
        <v>-114.1</v>
      </c>
      <c r="CM18" s="99">
        <v>134.32</v>
      </c>
      <c r="CN18" s="99">
        <v>117</v>
      </c>
      <c r="CP18" s="64">
        <v>17</v>
      </c>
      <c r="CQ18" s="99">
        <v>266.00799999999998</v>
      </c>
      <c r="CR18" s="100">
        <v>-114.1</v>
      </c>
      <c r="CS18" s="99">
        <v>134.32</v>
      </c>
      <c r="CT18" s="99">
        <v>117</v>
      </c>
    </row>
    <row r="19" spans="1:98" x14ac:dyDescent="0.25">
      <c r="A19" s="1">
        <v>3</v>
      </c>
      <c r="B19" s="1">
        <v>4</v>
      </c>
      <c r="C19">
        <v>16</v>
      </c>
      <c r="D19">
        <v>2</v>
      </c>
      <c r="E19" s="61">
        <v>3856.909791951161</v>
      </c>
      <c r="F19" s="61">
        <v>77.138195839023226</v>
      </c>
      <c r="G19">
        <v>57.6</v>
      </c>
      <c r="H19" s="100">
        <v>-524.17656299999999</v>
      </c>
      <c r="L19" s="81"/>
      <c r="N19" s="83"/>
      <c r="O19" s="83"/>
      <c r="P19" s="84"/>
      <c r="Q19" s="85"/>
      <c r="V19" s="64">
        <v>18</v>
      </c>
      <c r="W19" s="99">
        <v>4917.9914049999998</v>
      </c>
      <c r="X19" s="99">
        <v>4835.7948029999998</v>
      </c>
      <c r="Y19" s="99">
        <v>82.196601999999999</v>
      </c>
      <c r="AB19" s="64" t="s">
        <v>127</v>
      </c>
      <c r="AC19" s="65">
        <v>17</v>
      </c>
      <c r="AD19" s="99">
        <v>85.463300000000004</v>
      </c>
      <c r="AE19" s="99">
        <v>2.2690999999999999</v>
      </c>
      <c r="AF19" s="99">
        <v>117</v>
      </c>
      <c r="AG19" s="99">
        <v>37.659999999999997</v>
      </c>
      <c r="AH19" s="99" t="s">
        <v>143</v>
      </c>
      <c r="AI19" s="99">
        <v>0.3</v>
      </c>
      <c r="AJ19" s="99">
        <v>83.101100000000002</v>
      </c>
      <c r="AK19" s="99">
        <v>87.825500000000005</v>
      </c>
      <c r="AM19" s="64">
        <v>18</v>
      </c>
      <c r="AN19" s="99">
        <v>2.6779700000000002</v>
      </c>
      <c r="AO19" s="100">
        <v>-0.87960000000000005</v>
      </c>
      <c r="AP19" s="99">
        <v>2.5724</v>
      </c>
      <c r="AQ19" s="99">
        <v>117</v>
      </c>
      <c r="AS19" s="64">
        <v>18</v>
      </c>
      <c r="AT19" s="99">
        <v>5.0944700000000003</v>
      </c>
      <c r="AU19" s="100">
        <v>-0.87960000000000005</v>
      </c>
      <c r="AV19" s="99">
        <v>2.5724</v>
      </c>
      <c r="AW19" s="99">
        <v>117</v>
      </c>
      <c r="AZ19" s="64" t="s">
        <v>127</v>
      </c>
      <c r="BA19" s="65">
        <v>17</v>
      </c>
      <c r="BB19" s="99">
        <v>58.093400000000003</v>
      </c>
      <c r="BC19" s="99">
        <v>0.16250000000000001</v>
      </c>
      <c r="BD19" s="99">
        <v>133</v>
      </c>
      <c r="BE19" s="99">
        <v>357.55</v>
      </c>
      <c r="BF19" s="99" t="s">
        <v>143</v>
      </c>
      <c r="BG19" s="99">
        <v>0.3</v>
      </c>
      <c r="BH19" s="99">
        <v>57.924300000000002</v>
      </c>
      <c r="BI19" s="99">
        <v>58.2624</v>
      </c>
      <c r="BK19" s="64">
        <v>18</v>
      </c>
      <c r="BL19" s="99">
        <v>0.39574999999999999</v>
      </c>
      <c r="BM19" s="99">
        <v>4.1029999999999997E-2</v>
      </c>
      <c r="BN19" s="99">
        <v>0.2001</v>
      </c>
      <c r="BO19" s="99">
        <v>133</v>
      </c>
      <c r="BQ19" s="64">
        <v>18</v>
      </c>
      <c r="BR19" s="99">
        <v>0.20818</v>
      </c>
      <c r="BS19" s="99">
        <v>4.1029999999999997E-2</v>
      </c>
      <c r="BT19" s="99">
        <v>0.2001</v>
      </c>
      <c r="BU19" s="99">
        <v>133</v>
      </c>
      <c r="BX19" s="64" t="s">
        <v>127</v>
      </c>
      <c r="BY19" s="65">
        <v>18</v>
      </c>
      <c r="BZ19" s="99">
        <v>5001.8999999999996</v>
      </c>
      <c r="CA19" s="99">
        <v>114.41</v>
      </c>
      <c r="CB19" s="99">
        <v>117</v>
      </c>
      <c r="CC19" s="99">
        <v>43.72</v>
      </c>
      <c r="CD19" s="99" t="s">
        <v>143</v>
      </c>
      <c r="CE19" s="99">
        <v>0.3</v>
      </c>
      <c r="CF19" s="99">
        <v>4882.79</v>
      </c>
      <c r="CG19" s="99">
        <v>5121.01</v>
      </c>
      <c r="CJ19" s="64">
        <v>18</v>
      </c>
      <c r="CK19" s="99">
        <v>133.899</v>
      </c>
      <c r="CL19" s="100">
        <v>-43.9818</v>
      </c>
      <c r="CM19" s="99">
        <v>128.62</v>
      </c>
      <c r="CN19" s="99">
        <v>117</v>
      </c>
      <c r="CP19" s="64">
        <v>18</v>
      </c>
      <c r="CQ19" s="99">
        <v>254.72399999999999</v>
      </c>
      <c r="CR19" s="100">
        <v>-43.9818</v>
      </c>
      <c r="CS19" s="99">
        <v>128.62</v>
      </c>
      <c r="CT19" s="99">
        <v>117</v>
      </c>
    </row>
    <row r="20" spans="1:98" x14ac:dyDescent="0.25">
      <c r="A20" s="1">
        <v>4</v>
      </c>
      <c r="B20" s="1">
        <v>1</v>
      </c>
      <c r="C20">
        <v>2</v>
      </c>
      <c r="D20">
        <v>2</v>
      </c>
      <c r="E20" s="61">
        <v>4909.2172062013005</v>
      </c>
      <c r="F20" s="61">
        <v>98.184344124026012</v>
      </c>
      <c r="G20">
        <v>57.2</v>
      </c>
      <c r="H20" s="100">
        <v>-91.780054000000007</v>
      </c>
      <c r="J20" s="86" t="s">
        <v>158</v>
      </c>
      <c r="K20" s="81"/>
      <c r="L20" s="81"/>
      <c r="N20" s="83"/>
      <c r="O20" s="83"/>
      <c r="P20" s="84"/>
      <c r="Q20" s="76"/>
      <c r="R20" s="76"/>
      <c r="V20" s="64">
        <v>19</v>
      </c>
      <c r="W20" s="99">
        <v>5232.9321229999996</v>
      </c>
      <c r="X20" s="99">
        <v>4805.7498859999996</v>
      </c>
      <c r="Y20" s="99">
        <v>427.18223699999999</v>
      </c>
      <c r="AB20" s="64" t="s">
        <v>127</v>
      </c>
      <c r="AC20" s="65">
        <v>18</v>
      </c>
      <c r="AD20" s="99">
        <v>100.04</v>
      </c>
      <c r="AE20" s="99">
        <v>2.2881999999999998</v>
      </c>
      <c r="AF20" s="99">
        <v>117</v>
      </c>
      <c r="AG20" s="99">
        <v>43.72</v>
      </c>
      <c r="AH20" s="99" t="s">
        <v>143</v>
      </c>
      <c r="AI20" s="99">
        <v>0.3</v>
      </c>
      <c r="AJ20" s="99">
        <v>97.655799999999999</v>
      </c>
      <c r="AK20" s="99">
        <v>102.42</v>
      </c>
      <c r="AM20" s="64">
        <v>19</v>
      </c>
      <c r="AN20" s="99">
        <v>2.6595499999999999</v>
      </c>
      <c r="AO20" s="99">
        <v>14.3674</v>
      </c>
      <c r="AP20" s="99">
        <v>2.5547</v>
      </c>
      <c r="AQ20" s="99">
        <v>117</v>
      </c>
      <c r="AS20" s="64">
        <v>19</v>
      </c>
      <c r="AT20" s="99">
        <v>5.0594299999999999</v>
      </c>
      <c r="AU20" s="99">
        <v>14.3674</v>
      </c>
      <c r="AV20" s="99">
        <v>2.5547</v>
      </c>
      <c r="AW20" s="99">
        <v>117</v>
      </c>
      <c r="AZ20" s="64" t="s">
        <v>127</v>
      </c>
      <c r="BA20" s="65">
        <v>18</v>
      </c>
      <c r="BB20" s="99">
        <v>58.132399999999997</v>
      </c>
      <c r="BC20" s="99">
        <v>0.16350000000000001</v>
      </c>
      <c r="BD20" s="99">
        <v>133</v>
      </c>
      <c r="BE20" s="99">
        <v>355.53</v>
      </c>
      <c r="BF20" s="99" t="s">
        <v>143</v>
      </c>
      <c r="BG20" s="99">
        <v>0.3</v>
      </c>
      <c r="BH20" s="99">
        <v>57.962299999999999</v>
      </c>
      <c r="BI20" s="99">
        <v>58.302500000000002</v>
      </c>
      <c r="BK20" s="64">
        <v>19</v>
      </c>
      <c r="BL20" s="99">
        <v>0.40087</v>
      </c>
      <c r="BM20" s="99">
        <v>0.22589999999999999</v>
      </c>
      <c r="BN20" s="99">
        <v>0.20269999999999999</v>
      </c>
      <c r="BO20" s="99">
        <v>133</v>
      </c>
      <c r="BQ20" s="64">
        <v>19</v>
      </c>
      <c r="BR20" s="99">
        <v>0.21087</v>
      </c>
      <c r="BS20" s="99">
        <v>0.22589999999999999</v>
      </c>
      <c r="BT20" s="99">
        <v>0.20269999999999999</v>
      </c>
      <c r="BU20" s="99">
        <v>133</v>
      </c>
      <c r="BX20" s="64" t="s">
        <v>127</v>
      </c>
      <c r="BY20" s="65">
        <v>19</v>
      </c>
      <c r="BZ20" s="99">
        <v>4931.78</v>
      </c>
      <c r="CA20" s="99">
        <v>114.3</v>
      </c>
      <c r="CB20" s="99">
        <v>117</v>
      </c>
      <c r="CC20" s="99">
        <v>43.15</v>
      </c>
      <c r="CD20" s="99" t="s">
        <v>143</v>
      </c>
      <c r="CE20" s="99">
        <v>0.3</v>
      </c>
      <c r="CF20" s="99">
        <v>4812.79</v>
      </c>
      <c r="CG20" s="99">
        <v>5050.7700000000004</v>
      </c>
      <c r="CJ20" s="64">
        <v>19</v>
      </c>
      <c r="CK20" s="99">
        <v>132.97800000000001</v>
      </c>
      <c r="CL20" s="99">
        <v>718.37</v>
      </c>
      <c r="CM20" s="99">
        <v>127.73</v>
      </c>
      <c r="CN20" s="99">
        <v>117</v>
      </c>
      <c r="CP20" s="64">
        <v>19</v>
      </c>
      <c r="CQ20" s="99">
        <v>252.971</v>
      </c>
      <c r="CR20" s="99">
        <v>718.37</v>
      </c>
      <c r="CS20" s="99">
        <v>127.73</v>
      </c>
      <c r="CT20" s="99">
        <v>117</v>
      </c>
    </row>
    <row r="21" spans="1:98" x14ac:dyDescent="0.25">
      <c r="A21" s="1">
        <v>5</v>
      </c>
      <c r="B21" s="1">
        <v>2</v>
      </c>
      <c r="C21">
        <v>6</v>
      </c>
      <c r="D21">
        <v>2</v>
      </c>
      <c r="E21" s="61">
        <v>4737.3383404289498</v>
      </c>
      <c r="F21" s="61">
        <v>94.746766808578997</v>
      </c>
      <c r="G21">
        <v>58.2</v>
      </c>
      <c r="H21" s="100">
        <v>-36.458838</v>
      </c>
      <c r="J21" s="86"/>
      <c r="K21" s="81"/>
      <c r="L21" s="81"/>
      <c r="N21" s="83"/>
      <c r="O21" s="83"/>
      <c r="P21" s="84"/>
      <c r="Q21" s="81"/>
      <c r="R21" s="81"/>
      <c r="V21" s="64">
        <v>20</v>
      </c>
      <c r="W21" s="99">
        <v>4250.794441</v>
      </c>
      <c r="X21" s="99">
        <v>4823.209038</v>
      </c>
      <c r="Y21" s="100">
        <v>-572.41459699999996</v>
      </c>
      <c r="AB21" s="64" t="s">
        <v>127</v>
      </c>
      <c r="AC21" s="65">
        <v>19</v>
      </c>
      <c r="AD21" s="99">
        <v>98.635599999999997</v>
      </c>
      <c r="AE21" s="99">
        <v>2.2858999999999998</v>
      </c>
      <c r="AF21" s="99">
        <v>117</v>
      </c>
      <c r="AG21" s="99">
        <v>43.15</v>
      </c>
      <c r="AH21" s="99" t="s">
        <v>143</v>
      </c>
      <c r="AI21" s="99">
        <v>0.3</v>
      </c>
      <c r="AJ21" s="99">
        <v>96.255799999999994</v>
      </c>
      <c r="AK21" s="99">
        <v>101.02</v>
      </c>
      <c r="AM21" s="64">
        <v>20</v>
      </c>
      <c r="AN21" s="99">
        <v>2.6765400000000001</v>
      </c>
      <c r="AO21" s="100">
        <v>-8.0701999999999998</v>
      </c>
      <c r="AP21" s="99">
        <v>2.5710000000000002</v>
      </c>
      <c r="AQ21" s="99">
        <v>117</v>
      </c>
      <c r="AS21" s="64">
        <v>20</v>
      </c>
      <c r="AT21" s="99">
        <v>5.0917500000000002</v>
      </c>
      <c r="AU21" s="100">
        <v>-8.0701999999999998</v>
      </c>
      <c r="AV21" s="99">
        <v>2.5710000000000002</v>
      </c>
      <c r="AW21" s="99">
        <v>117</v>
      </c>
      <c r="AZ21" s="64" t="s">
        <v>127</v>
      </c>
      <c r="BA21" s="65">
        <v>19</v>
      </c>
      <c r="BB21" s="99">
        <v>58.291200000000003</v>
      </c>
      <c r="BC21" s="99">
        <v>0.1636</v>
      </c>
      <c r="BD21" s="99">
        <v>133</v>
      </c>
      <c r="BE21" s="99">
        <v>356.34</v>
      </c>
      <c r="BF21" s="99" t="s">
        <v>143</v>
      </c>
      <c r="BG21" s="99">
        <v>0.3</v>
      </c>
      <c r="BH21" s="99">
        <v>58.121000000000002</v>
      </c>
      <c r="BI21" s="99">
        <v>58.461399999999998</v>
      </c>
      <c r="BK21" s="64">
        <v>20</v>
      </c>
      <c r="BL21" s="99">
        <v>0.40278999999999998</v>
      </c>
      <c r="BM21" s="100">
        <v>-1.0468999999999999</v>
      </c>
      <c r="BN21" s="99">
        <v>0.2036</v>
      </c>
      <c r="BO21" s="99">
        <v>133</v>
      </c>
      <c r="BQ21" s="64">
        <v>20</v>
      </c>
      <c r="BR21" s="99">
        <v>0.21188000000000001</v>
      </c>
      <c r="BS21" s="100">
        <v>-1.0468999999999999</v>
      </c>
      <c r="BT21" s="99">
        <v>0.2036</v>
      </c>
      <c r="BU21" s="99">
        <v>133</v>
      </c>
      <c r="BX21" s="64" t="s">
        <v>127</v>
      </c>
      <c r="BY21" s="65">
        <v>20</v>
      </c>
      <c r="BZ21" s="99">
        <v>4169.43</v>
      </c>
      <c r="CA21" s="99">
        <v>109.17</v>
      </c>
      <c r="CB21" s="99">
        <v>117</v>
      </c>
      <c r="CC21" s="99">
        <v>38.19</v>
      </c>
      <c r="CD21" s="99" t="s">
        <v>143</v>
      </c>
      <c r="CE21" s="99">
        <v>0.3</v>
      </c>
      <c r="CF21" s="99">
        <v>4055.77</v>
      </c>
      <c r="CG21" s="99">
        <v>4283.08</v>
      </c>
      <c r="CJ21" s="64">
        <v>20</v>
      </c>
      <c r="CK21" s="99">
        <v>133.827</v>
      </c>
      <c r="CL21" s="100">
        <v>-403.51</v>
      </c>
      <c r="CM21" s="99">
        <v>128.55000000000001</v>
      </c>
      <c r="CN21" s="99">
        <v>117</v>
      </c>
      <c r="CP21" s="64">
        <v>20</v>
      </c>
      <c r="CQ21" s="99">
        <v>254.58699999999999</v>
      </c>
      <c r="CR21" s="100">
        <v>-403.51</v>
      </c>
      <c r="CS21" s="99">
        <v>128.55000000000001</v>
      </c>
      <c r="CT21" s="99">
        <v>117</v>
      </c>
    </row>
    <row r="22" spans="1:98" x14ac:dyDescent="0.25">
      <c r="A22" s="1">
        <v>6</v>
      </c>
      <c r="B22" s="1">
        <v>4</v>
      </c>
      <c r="C22">
        <v>15</v>
      </c>
      <c r="D22">
        <v>2</v>
      </c>
      <c r="E22" s="61">
        <v>3552.8135593220336</v>
      </c>
      <c r="F22" s="61">
        <v>71.056271186440668</v>
      </c>
      <c r="G22">
        <v>56.9</v>
      </c>
      <c r="H22" s="100">
        <v>-454.32095299999997</v>
      </c>
      <c r="J22" s="81" t="s">
        <v>159</v>
      </c>
      <c r="K22" s="81"/>
      <c r="L22" s="81"/>
      <c r="M22" s="81"/>
      <c r="N22" s="81"/>
      <c r="O22" s="81"/>
      <c r="P22" s="81"/>
      <c r="Q22" s="81"/>
      <c r="R22" s="81"/>
      <c r="V22" s="64">
        <v>21</v>
      </c>
      <c r="W22" s="99">
        <v>4985.0040159999999</v>
      </c>
      <c r="X22" s="99">
        <v>4800.1940430000004</v>
      </c>
      <c r="Y22" s="99">
        <v>184.80997300000001</v>
      </c>
      <c r="AB22" s="64" t="s">
        <v>127</v>
      </c>
      <c r="AC22" s="65">
        <v>20</v>
      </c>
      <c r="AD22" s="99">
        <v>83.388499999999993</v>
      </c>
      <c r="AE22" s="99">
        <v>2.1835</v>
      </c>
      <c r="AF22" s="99">
        <v>117</v>
      </c>
      <c r="AG22" s="99">
        <v>38.19</v>
      </c>
      <c r="AH22" s="99" t="s">
        <v>143</v>
      </c>
      <c r="AI22" s="99">
        <v>0.3</v>
      </c>
      <c r="AJ22" s="99">
        <v>81.115399999999994</v>
      </c>
      <c r="AK22" s="99">
        <v>85.661600000000007</v>
      </c>
      <c r="AM22" s="64">
        <v>21</v>
      </c>
      <c r="AN22" s="99">
        <v>2.6524700000000001</v>
      </c>
      <c r="AO22" s="100">
        <v>-7.6252000000000004</v>
      </c>
      <c r="AP22" s="99">
        <v>2.5478999999999998</v>
      </c>
      <c r="AQ22" s="99">
        <v>117</v>
      </c>
      <c r="AS22" s="64">
        <v>21</v>
      </c>
      <c r="AT22" s="99">
        <v>5.04596</v>
      </c>
      <c r="AU22" s="100">
        <v>-7.6252000000000004</v>
      </c>
      <c r="AV22" s="99">
        <v>2.5478999999999998</v>
      </c>
      <c r="AW22" s="99">
        <v>117</v>
      </c>
      <c r="AZ22" s="64" t="s">
        <v>127</v>
      </c>
      <c r="BA22" s="65">
        <v>20</v>
      </c>
      <c r="BB22" s="99">
        <v>58.106299999999997</v>
      </c>
      <c r="BC22" s="99">
        <v>0.16350000000000001</v>
      </c>
      <c r="BD22" s="99">
        <v>133</v>
      </c>
      <c r="BE22" s="99">
        <v>355.46</v>
      </c>
      <c r="BF22" s="99" t="s">
        <v>143</v>
      </c>
      <c r="BG22" s="99">
        <v>0.3</v>
      </c>
      <c r="BH22" s="99">
        <v>57.936199999999999</v>
      </c>
      <c r="BI22" s="99">
        <v>58.276400000000002</v>
      </c>
      <c r="BK22" s="64">
        <v>21</v>
      </c>
      <c r="BL22" s="99">
        <v>0.40400000000000003</v>
      </c>
      <c r="BM22" s="100">
        <v>-0.1573</v>
      </c>
      <c r="BN22" s="99">
        <v>0.20419999999999999</v>
      </c>
      <c r="BO22" s="99">
        <v>133</v>
      </c>
      <c r="BQ22" s="64">
        <v>21</v>
      </c>
      <c r="BR22" s="99">
        <v>0.21251999999999999</v>
      </c>
      <c r="BS22" s="100">
        <v>-0.1573</v>
      </c>
      <c r="BT22" s="99">
        <v>0.20419999999999999</v>
      </c>
      <c r="BU22" s="99">
        <v>133</v>
      </c>
      <c r="CJ22" s="64">
        <v>21</v>
      </c>
      <c r="CK22" s="99">
        <v>132.624</v>
      </c>
      <c r="CL22" s="100">
        <v>-381.26</v>
      </c>
      <c r="CM22" s="99">
        <v>127.39</v>
      </c>
      <c r="CN22" s="99">
        <v>117</v>
      </c>
      <c r="CP22" s="64">
        <v>21</v>
      </c>
      <c r="CQ22" s="99">
        <v>252.298</v>
      </c>
      <c r="CR22" s="100">
        <v>-381.26</v>
      </c>
      <c r="CS22" s="99">
        <v>127.39</v>
      </c>
      <c r="CT22" s="99">
        <v>117</v>
      </c>
    </row>
    <row r="23" spans="1:98" x14ac:dyDescent="0.25">
      <c r="A23" s="1">
        <v>7</v>
      </c>
      <c r="B23" s="1">
        <v>1</v>
      </c>
      <c r="C23">
        <v>3</v>
      </c>
      <c r="D23">
        <v>2</v>
      </c>
      <c r="E23" s="61">
        <v>4816.1815406859987</v>
      </c>
      <c r="F23" s="61">
        <v>96.323630813719973</v>
      </c>
      <c r="G23">
        <v>57.3</v>
      </c>
      <c r="H23" s="99">
        <v>300.76295199999998</v>
      </c>
      <c r="J23" s="81" t="s">
        <v>160</v>
      </c>
      <c r="K23" s="81"/>
      <c r="L23" s="81"/>
      <c r="M23" s="81"/>
      <c r="N23" s="81"/>
      <c r="O23" s="81"/>
      <c r="P23" s="81"/>
      <c r="Q23" s="81"/>
      <c r="R23" s="81"/>
      <c r="V23" s="64">
        <v>22</v>
      </c>
      <c r="W23" s="99">
        <v>5095.5297609999998</v>
      </c>
      <c r="X23" s="99">
        <v>4694.765418</v>
      </c>
      <c r="Y23" s="99">
        <v>400.764343</v>
      </c>
      <c r="AB23" s="66"/>
      <c r="AC23" s="8"/>
      <c r="AD23"/>
      <c r="AE23"/>
      <c r="AF23"/>
      <c r="AG23"/>
      <c r="AH23"/>
      <c r="AI23"/>
      <c r="AJ23"/>
      <c r="AK23"/>
      <c r="AM23" s="64">
        <v>22</v>
      </c>
      <c r="AN23" s="99">
        <v>2.70262</v>
      </c>
      <c r="AO23" s="100">
        <v>-3.6293000000000002</v>
      </c>
      <c r="AP23" s="99">
        <v>2.5960999999999999</v>
      </c>
      <c r="AQ23" s="99">
        <v>117</v>
      </c>
      <c r="AS23" s="64">
        <v>22</v>
      </c>
      <c r="AT23" s="99">
        <v>5.1413599999999997</v>
      </c>
      <c r="AU23" s="100">
        <v>-3.6293000000000002</v>
      </c>
      <c r="AV23" s="99">
        <v>2.5960999999999999</v>
      </c>
      <c r="AW23" s="99">
        <v>117</v>
      </c>
      <c r="AZ23" s="66"/>
      <c r="BA23" s="8"/>
      <c r="BB23"/>
      <c r="BC23"/>
      <c r="BD23"/>
      <c r="BE23"/>
      <c r="BF23"/>
      <c r="BG23"/>
      <c r="BH23"/>
      <c r="BI23"/>
      <c r="BK23" s="64">
        <v>22</v>
      </c>
      <c r="BL23" s="99">
        <v>0.41266000000000003</v>
      </c>
      <c r="BM23" s="100">
        <v>-0.72030000000000005</v>
      </c>
      <c r="BN23" s="99">
        <v>0.20860000000000001</v>
      </c>
      <c r="BO23" s="99">
        <v>133</v>
      </c>
      <c r="BQ23" s="64">
        <v>22</v>
      </c>
      <c r="BR23" s="99">
        <v>0.21708</v>
      </c>
      <c r="BS23" s="100">
        <v>-0.72030000000000005</v>
      </c>
      <c r="BT23" s="99">
        <v>0.20860000000000001</v>
      </c>
      <c r="BU23" s="99">
        <v>133</v>
      </c>
      <c r="BZ23">
        <f>AVERAGE(BZ2:BZ21)</f>
        <v>4493.1449999999995</v>
      </c>
      <c r="CA23">
        <f>AVERAGE(CA2:CA21)</f>
        <v>113.29400000000001</v>
      </c>
      <c r="CJ23" s="64">
        <v>22</v>
      </c>
      <c r="CK23" s="99">
        <v>135.131</v>
      </c>
      <c r="CL23" s="100">
        <v>-181.47</v>
      </c>
      <c r="CM23" s="99">
        <v>129.80000000000001</v>
      </c>
      <c r="CN23" s="99">
        <v>117</v>
      </c>
      <c r="CP23" s="64">
        <v>22</v>
      </c>
      <c r="CQ23" s="99">
        <v>257.06799999999998</v>
      </c>
      <c r="CR23" s="100">
        <v>-181.47</v>
      </c>
      <c r="CS23" s="99">
        <v>129.80000000000001</v>
      </c>
      <c r="CT23" s="99">
        <v>117</v>
      </c>
    </row>
    <row r="24" spans="1:98" x14ac:dyDescent="0.25">
      <c r="A24" s="1">
        <v>9</v>
      </c>
      <c r="B24" s="1">
        <v>3</v>
      </c>
      <c r="C24">
        <v>10</v>
      </c>
      <c r="D24">
        <v>2</v>
      </c>
      <c r="E24" s="61">
        <v>4575.3072535946658</v>
      </c>
      <c r="F24" s="61">
        <v>91.506145071893314</v>
      </c>
      <c r="G24">
        <v>56.6</v>
      </c>
      <c r="H24" s="99">
        <v>710.97667000000001</v>
      </c>
      <c r="J24" s="81" t="s">
        <v>161</v>
      </c>
      <c r="K24" s="81"/>
      <c r="L24" s="81"/>
      <c r="M24" s="81"/>
      <c r="N24" s="81"/>
      <c r="O24" s="81"/>
      <c r="P24" s="81"/>
      <c r="Q24" s="81"/>
      <c r="R24" s="81"/>
      <c r="V24" s="64">
        <v>23</v>
      </c>
      <c r="W24" s="99">
        <v>5030.6537070000004</v>
      </c>
      <c r="X24" s="99">
        <v>4820.332684</v>
      </c>
      <c r="Y24" s="99">
        <v>210.321023</v>
      </c>
      <c r="AB24" s="66"/>
      <c r="AC24" s="8"/>
      <c r="AD24">
        <f>AVERAGE(AD3:AD22)</f>
        <v>89.862989999999996</v>
      </c>
      <c r="AE24">
        <f>AVERAGE(AE3:AE22)</f>
        <v>2.2659099999999999</v>
      </c>
      <c r="AF24"/>
      <c r="AG24"/>
      <c r="AH24"/>
      <c r="AI24"/>
      <c r="AJ24"/>
      <c r="AK24"/>
      <c r="AM24" s="64">
        <v>23</v>
      </c>
      <c r="AN24" s="99">
        <v>2.6673900000000001</v>
      </c>
      <c r="AO24" s="100">
        <v>-0.65380000000000005</v>
      </c>
      <c r="AP24" s="99">
        <v>2.5621999999999998</v>
      </c>
      <c r="AQ24" s="99">
        <v>117</v>
      </c>
      <c r="AS24" s="64">
        <v>23</v>
      </c>
      <c r="AT24" s="99">
        <v>5.0743299999999998</v>
      </c>
      <c r="AU24" s="100">
        <v>-0.65380000000000005</v>
      </c>
      <c r="AV24" s="99">
        <v>2.5621999999999998</v>
      </c>
      <c r="AW24" s="99">
        <v>117</v>
      </c>
      <c r="AZ24" s="66"/>
      <c r="BA24" s="8"/>
      <c r="BB24">
        <f>AVERAGE(BB3:BB22)</f>
        <v>57.792114999999988</v>
      </c>
      <c r="BC24">
        <f>AVERAGE(BC3:BC22)</f>
        <v>0.16347000000000003</v>
      </c>
      <c r="BD24"/>
      <c r="BE24"/>
      <c r="BF24"/>
      <c r="BG24"/>
      <c r="BH24"/>
      <c r="BI24"/>
      <c r="BK24" s="64">
        <v>23</v>
      </c>
      <c r="BL24" s="99">
        <v>0.40900999999999998</v>
      </c>
      <c r="BM24" s="100">
        <v>-0.60799999999999998</v>
      </c>
      <c r="BN24" s="99">
        <v>0.20680000000000001</v>
      </c>
      <c r="BO24" s="99">
        <v>133</v>
      </c>
      <c r="BQ24" s="64">
        <v>23</v>
      </c>
      <c r="BR24" s="99">
        <v>0.21515999999999999</v>
      </c>
      <c r="BS24" s="100">
        <v>-0.60799999999999998</v>
      </c>
      <c r="BT24" s="99">
        <v>0.20680000000000001</v>
      </c>
      <c r="BU24" s="99">
        <v>133</v>
      </c>
      <c r="BZ24"/>
      <c r="CA24"/>
      <c r="CJ24" s="64">
        <v>23</v>
      </c>
      <c r="CK24" s="99">
        <v>133.369</v>
      </c>
      <c r="CL24" s="100">
        <v>-32.692100000000003</v>
      </c>
      <c r="CM24" s="99">
        <v>128.11000000000001</v>
      </c>
      <c r="CN24" s="99">
        <v>117</v>
      </c>
      <c r="CP24" s="64">
        <v>23</v>
      </c>
      <c r="CQ24" s="99">
        <v>253.71700000000001</v>
      </c>
      <c r="CR24" s="100">
        <v>-32.692100000000003</v>
      </c>
      <c r="CS24" s="99">
        <v>128.11000000000001</v>
      </c>
      <c r="CT24" s="99">
        <v>117</v>
      </c>
    </row>
    <row r="25" spans="1:98" x14ac:dyDescent="0.25">
      <c r="A25" s="1">
        <v>10</v>
      </c>
      <c r="B25" s="1">
        <v>3</v>
      </c>
      <c r="C25">
        <v>12</v>
      </c>
      <c r="D25">
        <v>2</v>
      </c>
      <c r="E25" s="61">
        <v>4459.0690015262262</v>
      </c>
      <c r="F25" s="61">
        <v>89.181380030524522</v>
      </c>
      <c r="G25">
        <v>56.3</v>
      </c>
      <c r="H25" s="100">
        <v>-185.303754</v>
      </c>
      <c r="J25" s="87" t="s">
        <v>162</v>
      </c>
      <c r="K25" s="81"/>
      <c r="L25" s="81"/>
      <c r="M25" s="81"/>
      <c r="N25" s="81" t="s">
        <v>163</v>
      </c>
      <c r="O25" s="81"/>
      <c r="P25" s="81"/>
      <c r="Q25" s="81"/>
      <c r="R25" s="81"/>
      <c r="V25" s="64">
        <v>24</v>
      </c>
      <c r="W25" s="99">
        <v>3856.9097919999999</v>
      </c>
      <c r="X25" s="99">
        <v>4381.0863550000004</v>
      </c>
      <c r="Y25" s="100">
        <v>-524.17656299999999</v>
      </c>
      <c r="AB25" s="66"/>
      <c r="AC25" s="8"/>
      <c r="AD25"/>
      <c r="AE25"/>
      <c r="AF25"/>
      <c r="AG25"/>
      <c r="AH25"/>
      <c r="AI25"/>
      <c r="AJ25"/>
      <c r="AK25"/>
      <c r="AM25" s="64">
        <v>24</v>
      </c>
      <c r="AN25" s="99">
        <v>2.7609499999999998</v>
      </c>
      <c r="AO25" s="100">
        <v>-2.4272999999999998</v>
      </c>
      <c r="AP25" s="99">
        <v>2.6520999999999999</v>
      </c>
      <c r="AQ25" s="99">
        <v>117</v>
      </c>
      <c r="AS25" s="64">
        <v>24</v>
      </c>
      <c r="AT25" s="99">
        <v>5.2523200000000001</v>
      </c>
      <c r="AU25" s="100">
        <v>-2.4272999999999998</v>
      </c>
      <c r="AV25" s="99">
        <v>2.6520999999999999</v>
      </c>
      <c r="AW25" s="99">
        <v>117</v>
      </c>
      <c r="AZ25" s="66"/>
      <c r="BA25" s="8"/>
      <c r="BB25"/>
      <c r="BC25"/>
      <c r="BD25"/>
      <c r="BE25"/>
      <c r="BF25"/>
      <c r="BG25"/>
      <c r="BH25"/>
      <c r="BI25"/>
      <c r="BK25" s="64">
        <v>24</v>
      </c>
      <c r="BL25" s="99">
        <v>0.40921000000000002</v>
      </c>
      <c r="BM25" s="99">
        <v>0.13869999999999999</v>
      </c>
      <c r="BN25" s="99">
        <v>0.2069</v>
      </c>
      <c r="BO25" s="99">
        <v>133</v>
      </c>
      <c r="BQ25" s="64">
        <v>24</v>
      </c>
      <c r="BR25" s="99">
        <v>0.21526000000000001</v>
      </c>
      <c r="BS25" s="99">
        <v>0.13869999999999999</v>
      </c>
      <c r="BT25" s="99">
        <v>0.2069</v>
      </c>
      <c r="BU25" s="99">
        <v>133</v>
      </c>
      <c r="BZ25"/>
      <c r="CA25">
        <f>CA23/BZ23*100</f>
        <v>2.5214855073673346</v>
      </c>
      <c r="CJ25" s="64">
        <v>24</v>
      </c>
      <c r="CK25" s="99">
        <v>138.047</v>
      </c>
      <c r="CL25" s="100">
        <v>-121.36</v>
      </c>
      <c r="CM25" s="99">
        <v>132.6</v>
      </c>
      <c r="CN25" s="99">
        <v>117</v>
      </c>
      <c r="CP25" s="64">
        <v>24</v>
      </c>
      <c r="CQ25" s="99">
        <v>262.61599999999999</v>
      </c>
      <c r="CR25" s="100">
        <v>-121.36</v>
      </c>
      <c r="CS25" s="99">
        <v>132.6</v>
      </c>
      <c r="CT25" s="99">
        <v>117</v>
      </c>
    </row>
    <row r="26" spans="1:98" x14ac:dyDescent="0.25">
      <c r="A26" s="1">
        <v>11</v>
      </c>
      <c r="B26" s="1">
        <v>1</v>
      </c>
      <c r="C26">
        <v>1</v>
      </c>
      <c r="D26">
        <v>2</v>
      </c>
      <c r="E26" s="61">
        <v>4313.5551449915656</v>
      </c>
      <c r="F26" s="61">
        <v>86.271102899831305</v>
      </c>
      <c r="G26">
        <v>57.5</v>
      </c>
      <c r="H26" s="100">
        <v>-8.5600640000000006</v>
      </c>
      <c r="J26" s="81" t="s">
        <v>164</v>
      </c>
      <c r="K26" s="81"/>
      <c r="L26" s="81"/>
      <c r="M26" s="81"/>
      <c r="N26" s="81" t="s">
        <v>165</v>
      </c>
      <c r="O26" s="81"/>
      <c r="P26" s="81"/>
      <c r="Q26" s="81"/>
      <c r="R26" s="81"/>
      <c r="V26" s="64">
        <v>25</v>
      </c>
      <c r="W26" s="99">
        <v>4909.2172060000003</v>
      </c>
      <c r="X26" s="99">
        <v>5000.9972600000001</v>
      </c>
      <c r="Y26" s="100">
        <v>-91.780054000000007</v>
      </c>
      <c r="AB26" s="66"/>
      <c r="AC26" s="8"/>
      <c r="AD26"/>
      <c r="AE26">
        <f>AE24/AD24*100</f>
        <v>2.5215163661925786</v>
      </c>
      <c r="AF26"/>
      <c r="AG26"/>
      <c r="AH26"/>
      <c r="AI26"/>
      <c r="AJ26"/>
      <c r="AK26"/>
      <c r="AM26" s="64">
        <v>25</v>
      </c>
      <c r="AN26" s="99">
        <v>2.6547999999999998</v>
      </c>
      <c r="AO26" s="99">
        <v>0.64270000000000005</v>
      </c>
      <c r="AP26" s="99">
        <v>2.5501</v>
      </c>
      <c r="AQ26" s="99">
        <v>117</v>
      </c>
      <c r="AS26" s="64">
        <v>25</v>
      </c>
      <c r="AT26" s="99">
        <v>5.0503900000000002</v>
      </c>
      <c r="AU26" s="99">
        <v>0.64270000000000005</v>
      </c>
      <c r="AV26" s="99">
        <v>2.5501</v>
      </c>
      <c r="AW26" s="99">
        <v>117</v>
      </c>
      <c r="AZ26" s="66"/>
      <c r="BA26" s="8"/>
      <c r="BB26"/>
      <c r="BC26">
        <f>BC24/BB24*100</f>
        <v>0.28285865641013497</v>
      </c>
      <c r="BD26"/>
      <c r="BE26"/>
      <c r="BF26"/>
      <c r="BG26"/>
      <c r="BH26"/>
      <c r="BI26"/>
      <c r="BK26" s="64">
        <v>25</v>
      </c>
      <c r="BL26" s="99">
        <v>0.39284000000000002</v>
      </c>
      <c r="BM26" s="100">
        <v>-0.57550000000000001</v>
      </c>
      <c r="BN26" s="99">
        <v>0.1986</v>
      </c>
      <c r="BO26" s="99">
        <v>133</v>
      </c>
      <c r="BQ26" s="64">
        <v>25</v>
      </c>
      <c r="BR26" s="99">
        <v>0.20665</v>
      </c>
      <c r="BS26" s="100">
        <v>-0.57550000000000001</v>
      </c>
      <c r="BT26" s="99">
        <v>0.1986</v>
      </c>
      <c r="BU26" s="99">
        <v>133</v>
      </c>
      <c r="CJ26" s="64">
        <v>25</v>
      </c>
      <c r="CK26" s="99">
        <v>132.74</v>
      </c>
      <c r="CL26" s="99">
        <v>32.134399999999999</v>
      </c>
      <c r="CM26" s="99">
        <v>127.51</v>
      </c>
      <c r="CN26" s="99">
        <v>117</v>
      </c>
      <c r="CP26" s="64">
        <v>25</v>
      </c>
      <c r="CQ26" s="99">
        <v>252.51900000000001</v>
      </c>
      <c r="CR26" s="99">
        <v>32.134399999999999</v>
      </c>
      <c r="CS26" s="99">
        <v>127.51</v>
      </c>
      <c r="CT26" s="99">
        <v>117</v>
      </c>
    </row>
    <row r="27" spans="1:98" x14ac:dyDescent="0.25">
      <c r="A27" s="1">
        <v>12</v>
      </c>
      <c r="B27" s="1">
        <v>2</v>
      </c>
      <c r="C27">
        <v>7</v>
      </c>
      <c r="D27">
        <v>2</v>
      </c>
      <c r="E27" s="61">
        <v>4172.1394489517234</v>
      </c>
      <c r="F27" s="61">
        <v>83.442788979034461</v>
      </c>
      <c r="G27">
        <v>56.8</v>
      </c>
      <c r="H27" s="99">
        <v>43.615003999999999</v>
      </c>
      <c r="J27" s="81" t="s">
        <v>166</v>
      </c>
      <c r="K27" s="81"/>
      <c r="L27" s="81"/>
      <c r="M27" s="81"/>
      <c r="N27" s="81" t="s">
        <v>167</v>
      </c>
      <c r="O27" s="81"/>
      <c r="P27" s="81"/>
      <c r="Q27" s="81"/>
      <c r="R27" s="81"/>
      <c r="V27" s="64">
        <v>26</v>
      </c>
      <c r="W27" s="99">
        <v>5177.6546710000002</v>
      </c>
      <c r="X27" s="99">
        <v>4932.0949680000003</v>
      </c>
      <c r="Y27" s="99">
        <v>245.55970300000001</v>
      </c>
      <c r="AB27" s="66"/>
      <c r="AC27" s="8"/>
      <c r="AD27"/>
      <c r="AE27"/>
      <c r="AF27"/>
      <c r="AG27"/>
      <c r="AH27"/>
      <c r="AI27"/>
      <c r="AJ27"/>
      <c r="AK27"/>
      <c r="AM27" s="64">
        <v>26</v>
      </c>
      <c r="AN27" s="99">
        <v>2.7187100000000002</v>
      </c>
      <c r="AO27" s="99">
        <v>7.9592999999999998</v>
      </c>
      <c r="AP27" s="99">
        <v>2.6114999999999999</v>
      </c>
      <c r="AQ27" s="99">
        <v>117</v>
      </c>
      <c r="AS27" s="64">
        <v>26</v>
      </c>
      <c r="AT27" s="99">
        <v>5.17197</v>
      </c>
      <c r="AU27" s="99">
        <v>7.9592999999999998</v>
      </c>
      <c r="AV27" s="99">
        <v>2.6114999999999999</v>
      </c>
      <c r="AW27" s="99">
        <v>117</v>
      </c>
      <c r="AZ27" s="66"/>
      <c r="BA27" s="8"/>
      <c r="BB27"/>
      <c r="BC27"/>
      <c r="BD27"/>
      <c r="BE27"/>
      <c r="BF27"/>
      <c r="BG27"/>
      <c r="BH27"/>
      <c r="BI27"/>
      <c r="BK27" s="64">
        <v>26</v>
      </c>
      <c r="BL27" s="99">
        <v>0.39757999999999999</v>
      </c>
      <c r="BM27" s="99">
        <v>0.37469999999999998</v>
      </c>
      <c r="BN27" s="99">
        <v>0.20100000000000001</v>
      </c>
      <c r="BO27" s="99">
        <v>133</v>
      </c>
      <c r="BQ27" s="64">
        <v>26</v>
      </c>
      <c r="BR27" s="99">
        <v>0.20913999999999999</v>
      </c>
      <c r="BS27" s="99">
        <v>0.37469999999999998</v>
      </c>
      <c r="BT27" s="99">
        <v>0.20100000000000001</v>
      </c>
      <c r="BU27" s="99">
        <v>133</v>
      </c>
      <c r="CJ27" s="64">
        <v>26</v>
      </c>
      <c r="CK27" s="99">
        <v>135.93600000000001</v>
      </c>
      <c r="CL27" s="99">
        <v>397.96</v>
      </c>
      <c r="CM27" s="99">
        <v>130.58000000000001</v>
      </c>
      <c r="CN27" s="99">
        <v>117</v>
      </c>
      <c r="CP27" s="64">
        <v>26</v>
      </c>
      <c r="CQ27" s="99">
        <v>258.59899999999999</v>
      </c>
      <c r="CR27" s="99">
        <v>397.96</v>
      </c>
      <c r="CS27" s="99">
        <v>130.58000000000001</v>
      </c>
      <c r="CT27" s="99">
        <v>117</v>
      </c>
    </row>
    <row r="28" spans="1:98" x14ac:dyDescent="0.25">
      <c r="A28" s="1">
        <v>13</v>
      </c>
      <c r="B28" s="1">
        <v>3</v>
      </c>
      <c r="C28">
        <v>9</v>
      </c>
      <c r="D28">
        <v>2</v>
      </c>
      <c r="E28" s="61">
        <v>4216.1456341874846</v>
      </c>
      <c r="F28" s="61">
        <v>84.322912683749692</v>
      </c>
      <c r="G28">
        <v>56.6</v>
      </c>
      <c r="H28" s="99">
        <v>503.747525</v>
      </c>
      <c r="J28" s="81" t="s">
        <v>168</v>
      </c>
      <c r="K28" s="81"/>
      <c r="L28" s="81"/>
      <c r="M28" s="81"/>
      <c r="N28" s="81" t="s">
        <v>169</v>
      </c>
      <c r="O28" s="81"/>
      <c r="P28" s="81"/>
      <c r="Q28" s="81"/>
      <c r="R28" s="81"/>
      <c r="V28" s="64">
        <v>27</v>
      </c>
      <c r="W28" s="99">
        <v>5080.9502769999999</v>
      </c>
      <c r="X28" s="99">
        <v>4988.4114939999999</v>
      </c>
      <c r="Y28" s="99">
        <v>92.538782999999995</v>
      </c>
      <c r="AB28" s="66"/>
      <c r="AC28" s="8"/>
      <c r="AD28"/>
      <c r="AE28"/>
      <c r="AF28"/>
      <c r="AG28"/>
      <c r="AH28"/>
      <c r="AI28"/>
      <c r="AJ28"/>
      <c r="AK28"/>
      <c r="AM28" s="64">
        <v>27</v>
      </c>
      <c r="AN28" s="99">
        <v>2.8161999999999998</v>
      </c>
      <c r="AO28" s="100">
        <v>-10.527100000000001</v>
      </c>
      <c r="AP28" s="99">
        <v>2.7052</v>
      </c>
      <c r="AQ28" s="99">
        <v>117</v>
      </c>
      <c r="AS28" s="64">
        <v>27</v>
      </c>
      <c r="AT28" s="99">
        <v>5.3574299999999999</v>
      </c>
      <c r="AU28" s="100">
        <v>-10.527100000000001</v>
      </c>
      <c r="AV28" s="99">
        <v>2.7052</v>
      </c>
      <c r="AW28" s="99">
        <v>117</v>
      </c>
      <c r="AZ28" s="66"/>
      <c r="BA28" s="8"/>
      <c r="BB28"/>
      <c r="BC28"/>
      <c r="BD28"/>
      <c r="BE28"/>
      <c r="BF28"/>
      <c r="BG28"/>
      <c r="BH28"/>
      <c r="BI28"/>
      <c r="BK28" s="64">
        <v>27</v>
      </c>
      <c r="BL28" s="99">
        <v>0.41082999999999997</v>
      </c>
      <c r="BM28" s="99">
        <v>1.2085999999999999</v>
      </c>
      <c r="BN28" s="99">
        <v>0.2077</v>
      </c>
      <c r="BO28" s="99">
        <v>133</v>
      </c>
      <c r="BQ28" s="64">
        <v>27</v>
      </c>
      <c r="BR28" s="99">
        <v>0.21611</v>
      </c>
      <c r="BS28" s="99">
        <v>1.2085999999999999</v>
      </c>
      <c r="BT28" s="99">
        <v>0.2077</v>
      </c>
      <c r="BU28" s="99">
        <v>133</v>
      </c>
      <c r="CJ28" s="64">
        <v>27</v>
      </c>
      <c r="CK28" s="99">
        <v>140.81</v>
      </c>
      <c r="CL28" s="100">
        <v>-526.36</v>
      </c>
      <c r="CM28" s="99">
        <v>135.26</v>
      </c>
      <c r="CN28" s="99">
        <v>117</v>
      </c>
      <c r="CP28" s="64">
        <v>27</v>
      </c>
      <c r="CQ28" s="99">
        <v>267.87099999999998</v>
      </c>
      <c r="CR28" s="100">
        <v>-526.36</v>
      </c>
      <c r="CS28" s="99">
        <v>135.26</v>
      </c>
      <c r="CT28" s="99">
        <v>117</v>
      </c>
    </row>
    <row r="29" spans="1:98" x14ac:dyDescent="0.25">
      <c r="A29" s="1">
        <v>14</v>
      </c>
      <c r="B29" s="1">
        <v>4</v>
      </c>
      <c r="C29">
        <v>14</v>
      </c>
      <c r="D29">
        <v>2</v>
      </c>
      <c r="E29" s="61">
        <v>3859.3220338983051</v>
      </c>
      <c r="F29" s="61">
        <v>77.186440677966104</v>
      </c>
      <c r="G29">
        <v>57.1</v>
      </c>
      <c r="H29" s="99">
        <v>298.899608</v>
      </c>
      <c r="J29" s="81" t="s">
        <v>170</v>
      </c>
      <c r="K29" s="81"/>
      <c r="L29" s="81"/>
      <c r="M29" s="81"/>
      <c r="N29" s="81"/>
      <c r="O29" s="81"/>
      <c r="P29" s="81"/>
      <c r="Q29" s="81"/>
      <c r="R29" s="81"/>
      <c r="V29" s="64">
        <v>28</v>
      </c>
      <c r="W29" s="99">
        <v>5297.7180500000004</v>
      </c>
      <c r="X29" s="99">
        <v>4970.9523429999999</v>
      </c>
      <c r="Y29" s="99">
        <v>326.76570700000002</v>
      </c>
      <c r="AB29" s="66"/>
      <c r="AC29" s="8"/>
      <c r="AD29"/>
      <c r="AE29"/>
      <c r="AF29"/>
      <c r="AG29"/>
      <c r="AH29"/>
      <c r="AI29"/>
      <c r="AJ29"/>
      <c r="AK29"/>
      <c r="AM29" s="64">
        <v>28</v>
      </c>
      <c r="AN29" s="99">
        <v>2.75326</v>
      </c>
      <c r="AO29" s="99">
        <v>3.9990999999999999</v>
      </c>
      <c r="AP29" s="99">
        <v>2.6446999999999998</v>
      </c>
      <c r="AQ29" s="99">
        <v>117</v>
      </c>
      <c r="AS29" s="64">
        <v>28</v>
      </c>
      <c r="AT29" s="99">
        <v>5.2376899999999997</v>
      </c>
      <c r="AU29" s="99">
        <v>3.9990999999999999</v>
      </c>
      <c r="AV29" s="99">
        <v>2.6446999999999998</v>
      </c>
      <c r="AW29" s="99">
        <v>117</v>
      </c>
      <c r="AZ29" s="66"/>
      <c r="BA29" s="8"/>
      <c r="BB29"/>
      <c r="BC29"/>
      <c r="BD29"/>
      <c r="BE29"/>
      <c r="BF29"/>
      <c r="BG29"/>
      <c r="BH29"/>
      <c r="BI29"/>
      <c r="BK29" s="64">
        <v>28</v>
      </c>
      <c r="BL29" s="99">
        <v>0.40533999999999998</v>
      </c>
      <c r="BM29" s="100">
        <v>-0.21190000000000001</v>
      </c>
      <c r="BN29" s="99">
        <v>0.2049</v>
      </c>
      <c r="BO29" s="99">
        <v>133</v>
      </c>
      <c r="BQ29" s="64">
        <v>28</v>
      </c>
      <c r="BR29" s="99">
        <v>0.21321999999999999</v>
      </c>
      <c r="BS29" s="100">
        <v>-0.21190000000000001</v>
      </c>
      <c r="BT29" s="99">
        <v>0.2049</v>
      </c>
      <c r="BU29" s="99">
        <v>133</v>
      </c>
      <c r="CJ29" s="64">
        <v>28</v>
      </c>
      <c r="CK29" s="99">
        <v>137.66300000000001</v>
      </c>
      <c r="CL29" s="99">
        <v>199.95</v>
      </c>
      <c r="CM29" s="99">
        <v>132.22999999999999</v>
      </c>
      <c r="CN29" s="99">
        <v>117</v>
      </c>
      <c r="CP29" s="64">
        <v>28</v>
      </c>
      <c r="CQ29" s="99">
        <v>261.88400000000001</v>
      </c>
      <c r="CR29" s="99">
        <v>199.95</v>
      </c>
      <c r="CS29" s="99">
        <v>132.22999999999999</v>
      </c>
      <c r="CT29" s="99">
        <v>117</v>
      </c>
    </row>
    <row r="30" spans="1:98" x14ac:dyDescent="0.25">
      <c r="A30" s="1">
        <v>15</v>
      </c>
      <c r="B30" s="1">
        <v>2</v>
      </c>
      <c r="C30">
        <v>5</v>
      </c>
      <c r="D30">
        <v>2</v>
      </c>
      <c r="E30" s="61">
        <v>5308.6022973732834</v>
      </c>
      <c r="F30" s="61">
        <v>106.17204594746566</v>
      </c>
      <c r="G30">
        <v>58.3</v>
      </c>
      <c r="H30" s="99">
        <v>339.93838299999999</v>
      </c>
      <c r="J30" s="81" t="s">
        <v>171</v>
      </c>
      <c r="K30" s="81"/>
      <c r="L30" s="81"/>
      <c r="M30" s="81"/>
      <c r="N30" s="81"/>
      <c r="O30" s="81"/>
      <c r="P30" s="81"/>
      <c r="Q30" s="81"/>
      <c r="R30" s="81"/>
      <c r="V30" s="64">
        <v>29</v>
      </c>
      <c r="W30" s="99">
        <v>4669.8750899999995</v>
      </c>
      <c r="X30" s="99">
        <v>4859.9678739999999</v>
      </c>
      <c r="Y30" s="100">
        <v>-190.09278399999999</v>
      </c>
      <c r="AB30" s="66"/>
      <c r="AC30" s="8"/>
      <c r="AD30"/>
      <c r="AE30"/>
      <c r="AF30"/>
      <c r="AG30"/>
      <c r="AH30"/>
      <c r="AI30"/>
      <c r="AJ30"/>
      <c r="AK30"/>
      <c r="AM30" s="64">
        <v>29</v>
      </c>
      <c r="AN30" s="99">
        <v>2.7360799999999998</v>
      </c>
      <c r="AO30" s="99">
        <v>5.5734000000000004</v>
      </c>
      <c r="AP30" s="99">
        <v>2.6282000000000001</v>
      </c>
      <c r="AQ30" s="99">
        <v>117</v>
      </c>
      <c r="AS30" s="64">
        <v>29</v>
      </c>
      <c r="AT30" s="99">
        <v>5.2050200000000002</v>
      </c>
      <c r="AU30" s="99">
        <v>5.5734000000000004</v>
      </c>
      <c r="AV30" s="99">
        <v>2.6282000000000001</v>
      </c>
      <c r="AW30" s="99">
        <v>117</v>
      </c>
      <c r="AZ30" s="66"/>
      <c r="BA30" s="8"/>
      <c r="BB30"/>
      <c r="BC30"/>
      <c r="BD30"/>
      <c r="BE30"/>
      <c r="BF30"/>
      <c r="BG30"/>
      <c r="BH30"/>
      <c r="BI30"/>
      <c r="BK30" s="64">
        <v>29</v>
      </c>
      <c r="BL30" s="99">
        <v>0.40688000000000002</v>
      </c>
      <c r="BM30" s="99">
        <v>0.17280000000000001</v>
      </c>
      <c r="BN30" s="99">
        <v>0.20569999999999999</v>
      </c>
      <c r="BO30" s="99">
        <v>133</v>
      </c>
      <c r="BQ30" s="64">
        <v>29</v>
      </c>
      <c r="BR30" s="99">
        <v>0.21404000000000001</v>
      </c>
      <c r="BS30" s="99">
        <v>0.17280000000000001</v>
      </c>
      <c r="BT30" s="99">
        <v>0.20569999999999999</v>
      </c>
      <c r="BU30" s="99">
        <v>133</v>
      </c>
      <c r="CJ30" s="64">
        <v>29</v>
      </c>
      <c r="CK30" s="99">
        <v>136.804</v>
      </c>
      <c r="CL30" s="99">
        <v>278.67</v>
      </c>
      <c r="CM30" s="99">
        <v>131.41</v>
      </c>
      <c r="CN30" s="99">
        <v>117</v>
      </c>
      <c r="CP30" s="64">
        <v>29</v>
      </c>
      <c r="CQ30" s="99">
        <v>260.25099999999998</v>
      </c>
      <c r="CR30" s="99">
        <v>278.67</v>
      </c>
      <c r="CS30" s="99">
        <v>131.41</v>
      </c>
      <c r="CT30" s="99">
        <v>117</v>
      </c>
    </row>
    <row r="31" spans="1:98" x14ac:dyDescent="0.25">
      <c r="A31" s="1">
        <v>18</v>
      </c>
      <c r="B31" s="1">
        <v>4</v>
      </c>
      <c r="C31">
        <v>13</v>
      </c>
      <c r="D31">
        <v>2</v>
      </c>
      <c r="E31" s="61">
        <v>4501.6888103462124</v>
      </c>
      <c r="F31" s="61">
        <v>90.033776206924244</v>
      </c>
      <c r="G31">
        <v>58.6</v>
      </c>
      <c r="H31" s="100">
        <v>-14.288591</v>
      </c>
      <c r="J31" s="81" t="s">
        <v>172</v>
      </c>
      <c r="K31" s="81"/>
      <c r="L31" s="81"/>
      <c r="M31" s="81"/>
      <c r="N31" s="81"/>
      <c r="P31" s="81"/>
      <c r="Q31" s="81"/>
      <c r="R31" s="81"/>
      <c r="V31" s="64">
        <v>30</v>
      </c>
      <c r="W31" s="99">
        <v>4713.9661020000003</v>
      </c>
      <c r="X31" s="99">
        <v>4965.3964990000004</v>
      </c>
      <c r="Y31" s="100">
        <v>-251.430397</v>
      </c>
      <c r="AB31" s="66"/>
      <c r="AC31" s="8"/>
      <c r="AD31"/>
      <c r="AE31"/>
      <c r="AF31"/>
      <c r="AG31"/>
      <c r="AH31"/>
      <c r="AI31"/>
      <c r="AJ31"/>
      <c r="AK31"/>
      <c r="AM31" s="64">
        <v>30</v>
      </c>
      <c r="AN31" s="99">
        <v>2.7270599999999998</v>
      </c>
      <c r="AO31" s="99">
        <v>11.1607</v>
      </c>
      <c r="AP31" s="99">
        <v>2.6194999999999999</v>
      </c>
      <c r="AQ31" s="99">
        <v>117</v>
      </c>
      <c r="AS31" s="64">
        <v>30</v>
      </c>
      <c r="AT31" s="99">
        <v>5.1878500000000001</v>
      </c>
      <c r="AU31" s="99">
        <v>11.1607</v>
      </c>
      <c r="AV31" s="99">
        <v>2.6194999999999999</v>
      </c>
      <c r="AW31" s="99">
        <v>117</v>
      </c>
      <c r="AZ31" s="66"/>
      <c r="BA31" s="8"/>
      <c r="BB31"/>
      <c r="BC31"/>
      <c r="BD31"/>
      <c r="BE31"/>
      <c r="BF31"/>
      <c r="BG31"/>
      <c r="BH31"/>
      <c r="BI31"/>
      <c r="BK31" s="64">
        <v>30</v>
      </c>
      <c r="BL31" s="99">
        <v>0.40611999999999998</v>
      </c>
      <c r="BM31" s="99">
        <v>0.1648</v>
      </c>
      <c r="BN31" s="99">
        <v>0.20530000000000001</v>
      </c>
      <c r="BO31" s="99">
        <v>133</v>
      </c>
      <c r="BQ31" s="64">
        <v>30</v>
      </c>
      <c r="BR31" s="99">
        <v>0.21362999999999999</v>
      </c>
      <c r="BS31" s="99">
        <v>0.1648</v>
      </c>
      <c r="BT31" s="99">
        <v>0.20530000000000001</v>
      </c>
      <c r="BU31" s="99">
        <v>133</v>
      </c>
      <c r="CJ31" s="64">
        <v>30</v>
      </c>
      <c r="CK31" s="99">
        <v>136.35300000000001</v>
      </c>
      <c r="CL31" s="99">
        <v>558.04</v>
      </c>
      <c r="CM31" s="99">
        <v>130.97999999999999</v>
      </c>
      <c r="CN31" s="99">
        <v>117</v>
      </c>
      <c r="CP31" s="64">
        <v>30</v>
      </c>
      <c r="CQ31" s="99">
        <v>259.392</v>
      </c>
      <c r="CR31" s="99">
        <v>558.04</v>
      </c>
      <c r="CS31" s="99">
        <v>130.97999999999999</v>
      </c>
      <c r="CT31" s="99">
        <v>117</v>
      </c>
    </row>
    <row r="32" spans="1:98" x14ac:dyDescent="0.25">
      <c r="A32" s="1">
        <v>19</v>
      </c>
      <c r="B32" s="1">
        <v>2</v>
      </c>
      <c r="C32">
        <v>8</v>
      </c>
      <c r="D32">
        <v>2</v>
      </c>
      <c r="E32" s="61">
        <v>5245.168286609367</v>
      </c>
      <c r="F32" s="61">
        <v>104.90336573218734</v>
      </c>
      <c r="G32">
        <v>58</v>
      </c>
      <c r="H32" s="99">
        <v>492.33176900000001</v>
      </c>
      <c r="V32" s="64">
        <v>31</v>
      </c>
      <c r="W32" s="99">
        <v>5001.0228930000003</v>
      </c>
      <c r="X32" s="99">
        <v>4546.2888110000004</v>
      </c>
      <c r="Y32" s="99">
        <v>454.734082</v>
      </c>
      <c r="AB32" s="66"/>
      <c r="AC32" s="8"/>
      <c r="AD32"/>
      <c r="AE32"/>
      <c r="AF32"/>
      <c r="AG32"/>
      <c r="AH32"/>
      <c r="AI32"/>
      <c r="AJ32"/>
      <c r="AK32"/>
      <c r="AM32" s="64">
        <v>31</v>
      </c>
      <c r="AN32" s="99">
        <v>2.7571699999999999</v>
      </c>
      <c r="AO32" s="99">
        <v>7.3</v>
      </c>
      <c r="AP32" s="99">
        <v>2.6484999999999999</v>
      </c>
      <c r="AQ32" s="99">
        <v>117</v>
      </c>
      <c r="AS32" s="64">
        <v>31</v>
      </c>
      <c r="AT32" s="99">
        <v>5.2451299999999996</v>
      </c>
      <c r="AU32" s="99">
        <v>7.3</v>
      </c>
      <c r="AV32" s="99">
        <v>2.6484999999999999</v>
      </c>
      <c r="AW32" s="99">
        <v>117</v>
      </c>
      <c r="AZ32" s="66"/>
      <c r="BA32" s="8"/>
      <c r="BB32"/>
      <c r="BC32"/>
      <c r="BD32"/>
      <c r="BE32"/>
      <c r="BF32"/>
      <c r="BG32"/>
      <c r="BH32"/>
      <c r="BI32"/>
      <c r="BK32" s="64">
        <v>31</v>
      </c>
      <c r="BL32" s="99">
        <v>0.40982000000000002</v>
      </c>
      <c r="BM32" s="100">
        <v>-0.54520000000000002</v>
      </c>
      <c r="BN32" s="99">
        <v>0.2072</v>
      </c>
      <c r="BO32" s="99">
        <v>133</v>
      </c>
      <c r="BQ32" s="64">
        <v>31</v>
      </c>
      <c r="BR32" s="99">
        <v>0.21557999999999999</v>
      </c>
      <c r="BS32" s="100">
        <v>-0.54520000000000002</v>
      </c>
      <c r="BT32" s="99">
        <v>0.2072</v>
      </c>
      <c r="BU32" s="99">
        <v>133</v>
      </c>
      <c r="CJ32" s="64">
        <v>31</v>
      </c>
      <c r="CK32" s="99">
        <v>137.858</v>
      </c>
      <c r="CL32" s="99">
        <v>365</v>
      </c>
      <c r="CM32" s="99">
        <v>132.41999999999999</v>
      </c>
      <c r="CN32" s="99">
        <v>117</v>
      </c>
      <c r="CP32" s="64">
        <v>31</v>
      </c>
      <c r="CQ32" s="99">
        <v>262.25599999999997</v>
      </c>
      <c r="CR32" s="99">
        <v>365</v>
      </c>
      <c r="CS32" s="99">
        <v>132.41999999999999</v>
      </c>
      <c r="CT32" s="99">
        <v>117</v>
      </c>
    </row>
    <row r="33" spans="1:98" x14ac:dyDescent="0.25">
      <c r="A33" s="1">
        <v>20</v>
      </c>
      <c r="B33" s="1">
        <v>1</v>
      </c>
      <c r="C33">
        <v>4</v>
      </c>
      <c r="D33">
        <v>2</v>
      </c>
      <c r="E33" s="61">
        <v>4392.2949634508786</v>
      </c>
      <c r="F33" s="61">
        <v>87.845899269017579</v>
      </c>
      <c r="G33">
        <v>56.9</v>
      </c>
      <c r="H33" s="99">
        <v>45.652791999999998</v>
      </c>
      <c r="J33" s="88" t="s">
        <v>173</v>
      </c>
      <c r="K33" s="81"/>
      <c r="L33" s="81"/>
      <c r="M33" s="81"/>
      <c r="N33" s="81"/>
      <c r="O33" s="81"/>
      <c r="P33" s="81"/>
      <c r="V33" s="64">
        <v>32</v>
      </c>
      <c r="W33" s="99">
        <v>4399.2401</v>
      </c>
      <c r="X33" s="99">
        <v>4985.53514</v>
      </c>
      <c r="Y33" s="100">
        <v>-586.29503999999997</v>
      </c>
      <c r="AB33" s="66"/>
      <c r="AC33" s="8"/>
      <c r="AD33"/>
      <c r="AE33"/>
      <c r="AF33"/>
      <c r="AG33"/>
      <c r="AH33"/>
      <c r="AI33"/>
      <c r="AJ33"/>
      <c r="AK33"/>
      <c r="AM33" s="64">
        <v>32</v>
      </c>
      <c r="AN33" s="99">
        <v>2.67822</v>
      </c>
      <c r="AO33" s="100">
        <v>-6.9580000000000002</v>
      </c>
      <c r="AP33" s="99">
        <v>2.5726</v>
      </c>
      <c r="AQ33" s="99">
        <v>117</v>
      </c>
      <c r="AS33" s="64">
        <v>32</v>
      </c>
      <c r="AT33" s="99">
        <v>5.0949400000000002</v>
      </c>
      <c r="AU33" s="100">
        <v>-6.9580000000000002</v>
      </c>
      <c r="AV33" s="99">
        <v>2.5726</v>
      </c>
      <c r="AW33" s="99">
        <v>117</v>
      </c>
      <c r="AZ33" s="66"/>
      <c r="BA33" s="8"/>
      <c r="BB33"/>
      <c r="BC33"/>
      <c r="BD33"/>
      <c r="BE33"/>
      <c r="BF33"/>
      <c r="BG33"/>
      <c r="BH33"/>
      <c r="BI33"/>
      <c r="BK33" s="64">
        <v>32</v>
      </c>
      <c r="BL33" s="99">
        <v>0.39859</v>
      </c>
      <c r="BM33" s="100">
        <v>-0.84219999999999995</v>
      </c>
      <c r="BN33" s="99">
        <v>0.20150000000000001</v>
      </c>
      <c r="BO33" s="99">
        <v>133</v>
      </c>
      <c r="BQ33" s="64">
        <v>32</v>
      </c>
      <c r="BR33" s="99">
        <v>0.20967</v>
      </c>
      <c r="BS33" s="100">
        <v>-0.84219999999999995</v>
      </c>
      <c r="BT33" s="99">
        <v>0.20150000000000001</v>
      </c>
      <c r="BU33" s="99">
        <v>133</v>
      </c>
      <c r="CJ33" s="64">
        <v>32</v>
      </c>
      <c r="CK33" s="99">
        <v>133.911</v>
      </c>
      <c r="CL33" s="100">
        <v>-347.9</v>
      </c>
      <c r="CM33" s="99">
        <v>128.63</v>
      </c>
      <c r="CN33" s="99">
        <v>117</v>
      </c>
      <c r="CP33" s="64">
        <v>32</v>
      </c>
      <c r="CQ33" s="99">
        <v>254.74700000000001</v>
      </c>
      <c r="CR33" s="100">
        <v>-347.9</v>
      </c>
      <c r="CS33" s="99">
        <v>128.63</v>
      </c>
      <c r="CT33" s="99">
        <v>117</v>
      </c>
    </row>
    <row r="34" spans="1:98" x14ac:dyDescent="0.25">
      <c r="A34" s="1">
        <v>1</v>
      </c>
      <c r="B34" s="1">
        <v>4</v>
      </c>
      <c r="C34">
        <v>15</v>
      </c>
      <c r="D34">
        <v>3</v>
      </c>
      <c r="E34" s="61">
        <v>4356</v>
      </c>
      <c r="F34" s="61">
        <v>87.12</v>
      </c>
      <c r="G34">
        <v>57.5</v>
      </c>
      <c r="H34" s="100">
        <v>-32.006602000000001</v>
      </c>
      <c r="J34" s="89" t="s">
        <v>174</v>
      </c>
      <c r="K34" s="81"/>
      <c r="L34" s="81"/>
      <c r="M34" s="81"/>
      <c r="N34" s="81"/>
      <c r="O34" s="81"/>
      <c r="P34" s="81"/>
      <c r="V34" s="64">
        <v>33</v>
      </c>
      <c r="W34" s="99">
        <v>4587.9728489999998</v>
      </c>
      <c r="X34" s="99">
        <v>4786.3829429999996</v>
      </c>
      <c r="Y34" s="100">
        <v>-198.41009399999999</v>
      </c>
      <c r="AB34" s="66"/>
      <c r="AC34" s="8"/>
      <c r="AD34"/>
      <c r="AE34"/>
      <c r="AF34"/>
      <c r="AG34"/>
      <c r="AH34"/>
      <c r="AI34"/>
      <c r="AJ34"/>
      <c r="AK34"/>
      <c r="AM34" s="64">
        <v>33</v>
      </c>
      <c r="AN34" s="99">
        <v>2.72255</v>
      </c>
      <c r="AO34" s="100">
        <v>-3.3694999999999999</v>
      </c>
      <c r="AP34" s="99">
        <v>2.6152000000000002</v>
      </c>
      <c r="AQ34" s="99">
        <v>117</v>
      </c>
      <c r="AS34" s="64">
        <v>33</v>
      </c>
      <c r="AT34" s="99">
        <v>5.1792800000000003</v>
      </c>
      <c r="AU34" s="100">
        <v>-3.3694999999999999</v>
      </c>
      <c r="AV34" s="99">
        <v>2.6152000000000002</v>
      </c>
      <c r="AW34" s="99">
        <v>117</v>
      </c>
      <c r="AZ34" s="66"/>
      <c r="BA34" s="8"/>
      <c r="BB34"/>
      <c r="BC34"/>
      <c r="BD34"/>
      <c r="BE34"/>
      <c r="BF34"/>
      <c r="BG34"/>
      <c r="BH34"/>
      <c r="BI34"/>
      <c r="BK34" s="64">
        <v>33</v>
      </c>
      <c r="BL34" s="99">
        <v>0.40838999999999998</v>
      </c>
      <c r="BM34" s="100">
        <v>-0.71940000000000004</v>
      </c>
      <c r="BN34" s="99">
        <v>0.20649999999999999</v>
      </c>
      <c r="BO34" s="99">
        <v>133</v>
      </c>
      <c r="BQ34" s="64">
        <v>33</v>
      </c>
      <c r="BR34" s="99">
        <v>0.21482999999999999</v>
      </c>
      <c r="BS34" s="100">
        <v>-0.71940000000000004</v>
      </c>
      <c r="BT34" s="99">
        <v>0.20649999999999999</v>
      </c>
      <c r="BU34" s="99">
        <v>133</v>
      </c>
      <c r="CJ34" s="64">
        <v>33</v>
      </c>
      <c r="CK34" s="99">
        <v>136.12799999999999</v>
      </c>
      <c r="CL34" s="100">
        <v>-168.48</v>
      </c>
      <c r="CM34" s="99">
        <v>130.76</v>
      </c>
      <c r="CN34" s="99">
        <v>117</v>
      </c>
      <c r="CP34" s="64">
        <v>33</v>
      </c>
      <c r="CQ34" s="99">
        <v>258.964</v>
      </c>
      <c r="CR34" s="100">
        <v>-168.48</v>
      </c>
      <c r="CS34" s="99">
        <v>130.76</v>
      </c>
      <c r="CT34" s="99">
        <v>117</v>
      </c>
    </row>
    <row r="35" spans="1:98" x14ac:dyDescent="0.25">
      <c r="A35" s="1">
        <v>2</v>
      </c>
      <c r="B35" s="1">
        <v>4</v>
      </c>
      <c r="C35">
        <v>16</v>
      </c>
      <c r="D35">
        <v>3</v>
      </c>
      <c r="E35" s="61">
        <v>3947.9122821110127</v>
      </c>
      <c r="F35" s="61">
        <v>78.958245642220248</v>
      </c>
      <c r="G35">
        <v>56.2</v>
      </c>
      <c r="H35" s="99">
        <v>42.803345</v>
      </c>
      <c r="J35" s="90" t="s">
        <v>175</v>
      </c>
      <c r="K35" s="81"/>
      <c r="L35" s="81"/>
      <c r="M35" s="81"/>
      <c r="N35" s="81"/>
      <c r="O35" s="81"/>
      <c r="P35" s="81"/>
      <c r="V35" s="64">
        <v>34</v>
      </c>
      <c r="W35" s="99">
        <v>4412.2184909999996</v>
      </c>
      <c r="X35" s="99">
        <v>4717.4806520000002</v>
      </c>
      <c r="Y35" s="100">
        <v>-305.26216099999999</v>
      </c>
      <c r="AB35" s="66"/>
      <c r="AC35" s="8"/>
      <c r="AD35"/>
      <c r="AE35"/>
      <c r="AF35"/>
      <c r="AG35"/>
      <c r="AH35"/>
      <c r="AI35"/>
      <c r="AJ35"/>
      <c r="AK35"/>
      <c r="AM35" s="64">
        <v>34</v>
      </c>
      <c r="AN35" s="99">
        <v>2.7034199999999999</v>
      </c>
      <c r="AO35" s="99">
        <v>2.8934000000000002</v>
      </c>
      <c r="AP35" s="99">
        <v>2.5968</v>
      </c>
      <c r="AQ35" s="99">
        <v>117</v>
      </c>
      <c r="AS35" s="64">
        <v>34</v>
      </c>
      <c r="AT35" s="99">
        <v>5.1428900000000004</v>
      </c>
      <c r="AU35" s="99">
        <v>2.8934000000000002</v>
      </c>
      <c r="AV35" s="99">
        <v>2.5968</v>
      </c>
      <c r="AW35" s="99">
        <v>117</v>
      </c>
      <c r="AZ35" s="66"/>
      <c r="BA35" s="8"/>
      <c r="BB35"/>
      <c r="BC35"/>
      <c r="BD35"/>
      <c r="BE35"/>
      <c r="BF35"/>
      <c r="BG35"/>
      <c r="BH35"/>
      <c r="BI35"/>
      <c r="BK35" s="64">
        <v>34</v>
      </c>
      <c r="BL35" s="99">
        <v>0.40332000000000001</v>
      </c>
      <c r="BM35" s="100">
        <v>-0.65869999999999995</v>
      </c>
      <c r="BN35" s="99">
        <v>0.2039</v>
      </c>
      <c r="BO35" s="99">
        <v>133</v>
      </c>
      <c r="BQ35" s="64">
        <v>34</v>
      </c>
      <c r="BR35" s="99">
        <v>0.21217</v>
      </c>
      <c r="BS35" s="100">
        <v>-0.65869999999999995</v>
      </c>
      <c r="BT35" s="99">
        <v>0.2039</v>
      </c>
      <c r="BU35" s="99">
        <v>133</v>
      </c>
      <c r="CJ35" s="64">
        <v>34</v>
      </c>
      <c r="CK35" s="99">
        <v>135.17099999999999</v>
      </c>
      <c r="CL35" s="99">
        <v>144.66999999999999</v>
      </c>
      <c r="CM35" s="99">
        <v>129.84</v>
      </c>
      <c r="CN35" s="99">
        <v>117</v>
      </c>
      <c r="CP35" s="64">
        <v>34</v>
      </c>
      <c r="CQ35" s="99">
        <v>257.14400000000001</v>
      </c>
      <c r="CR35" s="99">
        <v>144.66999999999999</v>
      </c>
      <c r="CS35" s="99">
        <v>129.84</v>
      </c>
      <c r="CT35" s="99">
        <v>117</v>
      </c>
    </row>
    <row r="36" spans="1:98" x14ac:dyDescent="0.25">
      <c r="A36" s="1">
        <v>4</v>
      </c>
      <c r="B36" s="1">
        <v>2</v>
      </c>
      <c r="C36">
        <v>5</v>
      </c>
      <c r="D36">
        <v>3</v>
      </c>
      <c r="E36" s="61">
        <v>5080.9502771306934</v>
      </c>
      <c r="F36" s="61">
        <v>101.61900554261386</v>
      </c>
      <c r="G36">
        <v>57.4</v>
      </c>
      <c r="H36" s="99">
        <v>92.538782999999995</v>
      </c>
      <c r="J36" s="91" t="s">
        <v>176</v>
      </c>
      <c r="K36" s="81"/>
      <c r="L36" s="81"/>
      <c r="M36" s="81"/>
      <c r="N36" s="81"/>
      <c r="O36" s="81"/>
      <c r="P36" s="81"/>
      <c r="Q36" s="81"/>
      <c r="R36" s="81"/>
      <c r="V36" s="64">
        <v>35</v>
      </c>
      <c r="W36" s="99">
        <v>4737.3383400000002</v>
      </c>
      <c r="X36" s="99">
        <v>4773.7971779999998</v>
      </c>
      <c r="Y36" s="100">
        <v>-36.458838</v>
      </c>
      <c r="AB36" s="66"/>
      <c r="AC36" s="8"/>
      <c r="AD36"/>
      <c r="AE36"/>
      <c r="AF36"/>
      <c r="AG36"/>
      <c r="AH36"/>
      <c r="AI36"/>
      <c r="AJ36"/>
      <c r="AK36"/>
      <c r="AM36" s="64">
        <v>35</v>
      </c>
      <c r="AN36" s="99">
        <v>2.67998</v>
      </c>
      <c r="AO36" s="100">
        <v>-11.6812</v>
      </c>
      <c r="AP36" s="99">
        <v>2.5743</v>
      </c>
      <c r="AQ36" s="99">
        <v>117</v>
      </c>
      <c r="AS36" s="64">
        <v>35</v>
      </c>
      <c r="AT36" s="99">
        <v>5.0982900000000004</v>
      </c>
      <c r="AU36" s="100">
        <v>-11.6812</v>
      </c>
      <c r="AV36" s="99">
        <v>2.5743</v>
      </c>
      <c r="AW36" s="99">
        <v>117</v>
      </c>
      <c r="AZ36" s="66"/>
      <c r="BA36" s="8"/>
      <c r="BB36"/>
      <c r="BC36"/>
      <c r="BD36"/>
      <c r="BE36"/>
      <c r="BF36"/>
      <c r="BG36"/>
      <c r="BH36"/>
      <c r="BI36"/>
      <c r="BK36" s="64">
        <v>35</v>
      </c>
      <c r="BL36" s="99">
        <v>0.39912999999999998</v>
      </c>
      <c r="BM36" s="100">
        <v>-0.69769999999999999</v>
      </c>
      <c r="BN36" s="99">
        <v>0.20180000000000001</v>
      </c>
      <c r="BO36" s="99">
        <v>133</v>
      </c>
      <c r="BQ36" s="64">
        <v>35</v>
      </c>
      <c r="BR36" s="99">
        <v>0.20996000000000001</v>
      </c>
      <c r="BS36" s="100">
        <v>-0.69769999999999999</v>
      </c>
      <c r="BT36" s="99">
        <v>0.20180000000000001</v>
      </c>
      <c r="BU36" s="99">
        <v>133</v>
      </c>
      <c r="CJ36" s="64">
        <v>35</v>
      </c>
      <c r="CK36" s="99">
        <v>133.999</v>
      </c>
      <c r="CL36" s="100">
        <v>-584.05999999999995</v>
      </c>
      <c r="CM36" s="99">
        <v>128.72</v>
      </c>
      <c r="CN36" s="99">
        <v>117</v>
      </c>
      <c r="CP36" s="64">
        <v>35</v>
      </c>
      <c r="CQ36" s="99">
        <v>254.91499999999999</v>
      </c>
      <c r="CR36" s="100">
        <v>-584.05999999999995</v>
      </c>
      <c r="CS36" s="99">
        <v>128.72</v>
      </c>
      <c r="CT36" s="99">
        <v>117</v>
      </c>
    </row>
    <row r="37" spans="1:98" x14ac:dyDescent="0.25">
      <c r="A37" s="1">
        <v>5</v>
      </c>
      <c r="B37" s="1">
        <v>3</v>
      </c>
      <c r="C37">
        <v>12</v>
      </c>
      <c r="D37">
        <v>3</v>
      </c>
      <c r="E37" s="61">
        <v>4902.4549763033174</v>
      </c>
      <c r="F37" s="61">
        <v>98.049099526066342</v>
      </c>
      <c r="G37">
        <v>58</v>
      </c>
      <c r="H37" s="99">
        <v>257.10141900000002</v>
      </c>
      <c r="J37" s="91" t="s">
        <v>177</v>
      </c>
      <c r="K37" s="81"/>
      <c r="L37" s="81"/>
      <c r="M37" s="81"/>
      <c r="N37" s="81"/>
      <c r="O37" s="81"/>
      <c r="P37" s="81"/>
      <c r="Q37" s="81"/>
      <c r="R37" s="81"/>
      <c r="V37" s="64">
        <v>36</v>
      </c>
      <c r="W37" s="99">
        <v>4280.093903</v>
      </c>
      <c r="X37" s="99">
        <v>4756.3380260000004</v>
      </c>
      <c r="Y37" s="100">
        <v>-476.244123</v>
      </c>
      <c r="AB37" s="66"/>
      <c r="AC37" s="8"/>
      <c r="AD37"/>
      <c r="AE37"/>
      <c r="AF37"/>
      <c r="AG37"/>
      <c r="AH37"/>
      <c r="AI37"/>
      <c r="AJ37"/>
      <c r="AK37"/>
      <c r="AM37" s="64">
        <v>36</v>
      </c>
      <c r="AN37" s="99">
        <v>2.7003400000000002</v>
      </c>
      <c r="AO37" s="100">
        <v>-10.2788</v>
      </c>
      <c r="AP37" s="99">
        <v>2.5939000000000001</v>
      </c>
      <c r="AQ37" s="99">
        <v>117</v>
      </c>
      <c r="AS37" s="64">
        <v>36</v>
      </c>
      <c r="AT37" s="99">
        <v>5.1370300000000002</v>
      </c>
      <c r="AU37" s="100">
        <v>-10.2788</v>
      </c>
      <c r="AV37" s="99">
        <v>2.5939000000000001</v>
      </c>
      <c r="AW37" s="99">
        <v>117</v>
      </c>
      <c r="AZ37" s="66"/>
      <c r="BA37" s="8"/>
      <c r="BB37"/>
      <c r="BC37"/>
      <c r="BD37"/>
      <c r="BE37"/>
      <c r="BF37"/>
      <c r="BG37"/>
      <c r="BH37"/>
      <c r="BI37"/>
      <c r="BK37" s="64">
        <v>36</v>
      </c>
      <c r="BL37" s="99">
        <v>0.39767999999999998</v>
      </c>
      <c r="BM37" s="100">
        <v>-0.85650000000000004</v>
      </c>
      <c r="BN37" s="99">
        <v>0.2011</v>
      </c>
      <c r="BO37" s="99">
        <v>133</v>
      </c>
      <c r="BQ37" s="64">
        <v>36</v>
      </c>
      <c r="BR37" s="99">
        <v>0.2092</v>
      </c>
      <c r="BS37" s="100">
        <v>-0.85650000000000004</v>
      </c>
      <c r="BT37" s="99">
        <v>0.2011</v>
      </c>
      <c r="BU37" s="99">
        <v>133</v>
      </c>
      <c r="CJ37" s="64">
        <v>36</v>
      </c>
      <c r="CK37" s="99">
        <v>135.017</v>
      </c>
      <c r="CL37" s="100">
        <v>-513.94000000000005</v>
      </c>
      <c r="CM37" s="99">
        <v>129.69</v>
      </c>
      <c r="CN37" s="99">
        <v>117</v>
      </c>
      <c r="CP37" s="64">
        <v>36</v>
      </c>
      <c r="CQ37" s="99">
        <v>256.851</v>
      </c>
      <c r="CR37" s="100">
        <v>-513.94000000000005</v>
      </c>
      <c r="CS37" s="99">
        <v>129.69</v>
      </c>
      <c r="CT37" s="99">
        <v>117</v>
      </c>
    </row>
    <row r="38" spans="1:98" x14ac:dyDescent="0.25">
      <c r="A38" s="1">
        <v>7</v>
      </c>
      <c r="B38" s="1">
        <v>3</v>
      </c>
      <c r="C38">
        <v>9</v>
      </c>
      <c r="D38">
        <v>3</v>
      </c>
      <c r="E38" s="61">
        <v>4720.6938709936539</v>
      </c>
      <c r="F38" s="61">
        <v>94.413877419873074</v>
      </c>
      <c r="G38">
        <v>57.3</v>
      </c>
      <c r="H38" s="99">
        <v>346.30466799999999</v>
      </c>
      <c r="J38" s="91" t="s">
        <v>178</v>
      </c>
      <c r="Q38" s="81"/>
      <c r="R38" s="81"/>
      <c r="V38" s="64">
        <v>37</v>
      </c>
      <c r="W38" s="99">
        <v>4971.7684950000003</v>
      </c>
      <c r="X38" s="99">
        <v>4750.7821819999999</v>
      </c>
      <c r="Y38" s="99">
        <v>220.986313</v>
      </c>
      <c r="AB38" s="66"/>
      <c r="AC38" s="8"/>
      <c r="AD38"/>
      <c r="AE38"/>
      <c r="AF38"/>
      <c r="AG38"/>
      <c r="AH38"/>
      <c r="AI38"/>
      <c r="AJ38"/>
      <c r="AK38"/>
      <c r="AM38" s="64">
        <v>37</v>
      </c>
      <c r="AN38" s="99">
        <v>2.67056</v>
      </c>
      <c r="AO38" s="99">
        <v>4.9682000000000004</v>
      </c>
      <c r="AP38" s="99">
        <v>2.5653000000000001</v>
      </c>
      <c r="AQ38" s="99">
        <v>117</v>
      </c>
      <c r="AS38" s="64">
        <v>37</v>
      </c>
      <c r="AT38" s="99">
        <v>5.0803700000000003</v>
      </c>
      <c r="AU38" s="99">
        <v>4.9682000000000004</v>
      </c>
      <c r="AV38" s="99">
        <v>2.5653000000000001</v>
      </c>
      <c r="AW38" s="99">
        <v>117</v>
      </c>
      <c r="AZ38" s="66"/>
      <c r="BA38" s="8"/>
      <c r="BB38"/>
      <c r="BC38"/>
      <c r="BD38"/>
      <c r="BE38"/>
      <c r="BF38"/>
      <c r="BG38"/>
      <c r="BH38"/>
      <c r="BI38"/>
      <c r="BK38" s="64">
        <v>37</v>
      </c>
      <c r="BL38" s="99">
        <v>0.41128999999999999</v>
      </c>
      <c r="BM38" s="100">
        <v>-0.67169999999999996</v>
      </c>
      <c r="BN38" s="99">
        <v>0.2079</v>
      </c>
      <c r="BO38" s="99">
        <v>133</v>
      </c>
      <c r="BQ38" s="64">
        <v>37</v>
      </c>
      <c r="BR38" s="99">
        <v>0.21634999999999999</v>
      </c>
      <c r="BS38" s="100">
        <v>-0.67169999999999996</v>
      </c>
      <c r="BT38" s="99">
        <v>0.2079</v>
      </c>
      <c r="BU38" s="99">
        <v>133</v>
      </c>
      <c r="CJ38" s="64">
        <v>37</v>
      </c>
      <c r="CK38" s="99">
        <v>133.52799999999999</v>
      </c>
      <c r="CL38" s="99">
        <v>248.41</v>
      </c>
      <c r="CM38" s="99">
        <v>128.26</v>
      </c>
      <c r="CN38" s="99">
        <v>117</v>
      </c>
      <c r="CP38" s="64">
        <v>37</v>
      </c>
      <c r="CQ38" s="99">
        <v>254.018</v>
      </c>
      <c r="CR38" s="99">
        <v>248.41</v>
      </c>
      <c r="CS38" s="99">
        <v>128.26</v>
      </c>
      <c r="CT38" s="99">
        <v>117</v>
      </c>
    </row>
    <row r="39" spans="1:98" ht="15.6" customHeight="1" x14ac:dyDescent="0.25">
      <c r="A39" s="1">
        <v>8</v>
      </c>
      <c r="B39" s="1">
        <v>2</v>
      </c>
      <c r="C39">
        <v>7</v>
      </c>
      <c r="D39">
        <v>3</v>
      </c>
      <c r="E39" s="61">
        <v>4492.1458751706959</v>
      </c>
      <c r="F39" s="61">
        <v>89.842917503413915</v>
      </c>
      <c r="G39">
        <v>57.9</v>
      </c>
      <c r="H39" s="99">
        <v>154.22093599999999</v>
      </c>
      <c r="J39" s="91" t="s">
        <v>179</v>
      </c>
      <c r="Q39" s="81"/>
      <c r="R39" s="81"/>
      <c r="V39" s="64">
        <v>38</v>
      </c>
      <c r="W39" s="99">
        <v>4902.454976</v>
      </c>
      <c r="X39" s="99">
        <v>4645.3535570000004</v>
      </c>
      <c r="Y39" s="99">
        <v>257.10141900000002</v>
      </c>
      <c r="AB39" s="66"/>
      <c r="AC39" s="8"/>
      <c r="AD39"/>
      <c r="AE39"/>
      <c r="AF39"/>
      <c r="AG39"/>
      <c r="AH39"/>
      <c r="AI39"/>
      <c r="AJ39"/>
      <c r="AK39"/>
      <c r="AM39" s="64">
        <v>38</v>
      </c>
      <c r="AN39" s="99">
        <v>2.6736900000000001</v>
      </c>
      <c r="AO39" s="99">
        <v>0.44500000000000001</v>
      </c>
      <c r="AP39" s="99">
        <v>2.5682999999999998</v>
      </c>
      <c r="AQ39" s="99">
        <v>117</v>
      </c>
      <c r="AS39" s="64">
        <v>38</v>
      </c>
      <c r="AT39" s="99">
        <v>5.0863199999999997</v>
      </c>
      <c r="AU39" s="99">
        <v>0.44500000000000001</v>
      </c>
      <c r="AV39" s="99">
        <v>2.5682999999999998</v>
      </c>
      <c r="AW39" s="99">
        <v>117</v>
      </c>
      <c r="AZ39" s="66"/>
      <c r="BA39" s="8"/>
      <c r="BB39"/>
      <c r="BC39"/>
      <c r="BD39"/>
      <c r="BE39"/>
      <c r="BF39"/>
      <c r="BG39"/>
      <c r="BH39"/>
      <c r="BI39"/>
      <c r="BK39" s="64">
        <v>38</v>
      </c>
      <c r="BL39" s="99">
        <v>0.40378999999999998</v>
      </c>
      <c r="BM39" s="99">
        <v>0.88959999999999995</v>
      </c>
      <c r="BN39" s="99">
        <v>0.2041</v>
      </c>
      <c r="BO39" s="99">
        <v>133</v>
      </c>
      <c r="BQ39" s="64">
        <v>38</v>
      </c>
      <c r="BR39" s="99">
        <v>0.21240999999999999</v>
      </c>
      <c r="BS39" s="99">
        <v>0.88959999999999995</v>
      </c>
      <c r="BT39" s="99">
        <v>0.2041</v>
      </c>
      <c r="BU39" s="99">
        <v>133</v>
      </c>
      <c r="CJ39" s="64">
        <v>38</v>
      </c>
      <c r="CK39" s="99">
        <v>133.684</v>
      </c>
      <c r="CL39" s="99">
        <v>22.249600000000001</v>
      </c>
      <c r="CM39" s="99">
        <v>128.41</v>
      </c>
      <c r="CN39" s="99">
        <v>117</v>
      </c>
      <c r="CP39" s="64">
        <v>38</v>
      </c>
      <c r="CQ39" s="99">
        <v>254.316</v>
      </c>
      <c r="CR39" s="99">
        <v>22.249600000000001</v>
      </c>
      <c r="CS39" s="99">
        <v>128.41</v>
      </c>
      <c r="CT39" s="99">
        <v>117</v>
      </c>
    </row>
    <row r="40" spans="1:98" x14ac:dyDescent="0.25">
      <c r="A40" s="1">
        <v>9</v>
      </c>
      <c r="B40" s="1">
        <v>2</v>
      </c>
      <c r="C40">
        <v>8</v>
      </c>
      <c r="D40">
        <v>3</v>
      </c>
      <c r="E40" s="61">
        <v>4217.9773475781185</v>
      </c>
      <c r="F40" s="61">
        <v>84.359546951562365</v>
      </c>
      <c r="G40">
        <v>57.4</v>
      </c>
      <c r="H40" s="99">
        <v>225.20314400000001</v>
      </c>
      <c r="J40" s="91" t="s">
        <v>180</v>
      </c>
      <c r="Q40" s="81"/>
      <c r="R40" s="81"/>
      <c r="V40" s="64">
        <v>39</v>
      </c>
      <c r="W40" s="99">
        <v>4714.0297209999999</v>
      </c>
      <c r="X40" s="99">
        <v>4770.9208239999998</v>
      </c>
      <c r="Y40" s="100">
        <v>-56.891103000000001</v>
      </c>
      <c r="AB40" s="66"/>
      <c r="AC40" s="8"/>
      <c r="AD40"/>
      <c r="AE40"/>
      <c r="AF40"/>
      <c r="AG40"/>
      <c r="AH40"/>
      <c r="AI40"/>
      <c r="AJ40"/>
      <c r="AK40"/>
      <c r="AM40" s="64">
        <v>39</v>
      </c>
      <c r="AN40" s="99">
        <v>2.6916000000000002</v>
      </c>
      <c r="AO40" s="99">
        <v>4.4408000000000003</v>
      </c>
      <c r="AP40" s="99">
        <v>2.5855000000000001</v>
      </c>
      <c r="AQ40" s="99">
        <v>117</v>
      </c>
      <c r="AS40" s="64">
        <v>39</v>
      </c>
      <c r="AT40" s="99">
        <v>5.1203900000000004</v>
      </c>
      <c r="AU40" s="99">
        <v>4.4408000000000003</v>
      </c>
      <c r="AV40" s="99">
        <v>2.5855000000000001</v>
      </c>
      <c r="AW40" s="99">
        <v>117</v>
      </c>
      <c r="AZ40" s="66"/>
      <c r="BA40" s="8"/>
      <c r="BB40"/>
      <c r="BC40"/>
      <c r="BD40"/>
      <c r="BE40"/>
      <c r="BF40"/>
      <c r="BG40"/>
      <c r="BH40"/>
      <c r="BI40"/>
      <c r="BK40" s="64">
        <v>39</v>
      </c>
      <c r="BL40" s="99">
        <v>0.41044000000000003</v>
      </c>
      <c r="BM40" s="99">
        <v>0.3266</v>
      </c>
      <c r="BN40" s="99">
        <v>0.20749999999999999</v>
      </c>
      <c r="BO40" s="99">
        <v>133</v>
      </c>
      <c r="BQ40" s="64">
        <v>39</v>
      </c>
      <c r="BR40" s="99">
        <v>0.21590999999999999</v>
      </c>
      <c r="BS40" s="99">
        <v>0.3266</v>
      </c>
      <c r="BT40" s="99">
        <v>0.20749999999999999</v>
      </c>
      <c r="BU40" s="99">
        <v>133</v>
      </c>
      <c r="CJ40" s="64">
        <v>39</v>
      </c>
      <c r="CK40" s="99">
        <v>134.58000000000001</v>
      </c>
      <c r="CL40" s="99">
        <v>222.04</v>
      </c>
      <c r="CM40" s="99">
        <v>129.27000000000001</v>
      </c>
      <c r="CN40" s="99">
        <v>117</v>
      </c>
      <c r="CP40" s="64">
        <v>39</v>
      </c>
      <c r="CQ40" s="99">
        <v>256.02</v>
      </c>
      <c r="CR40" s="99">
        <v>222.04</v>
      </c>
      <c r="CS40" s="99">
        <v>129.27000000000001</v>
      </c>
      <c r="CT40" s="99">
        <v>117</v>
      </c>
    </row>
    <row r="41" spans="1:98" x14ac:dyDescent="0.25">
      <c r="A41" s="1">
        <v>10</v>
      </c>
      <c r="B41" s="1">
        <v>2</v>
      </c>
      <c r="C41">
        <v>6</v>
      </c>
      <c r="D41">
        <v>3</v>
      </c>
      <c r="E41" s="61">
        <v>5035.329745361073</v>
      </c>
      <c r="F41" s="61">
        <v>100.70659490722146</v>
      </c>
      <c r="G41">
        <v>55.6</v>
      </c>
      <c r="H41" s="99">
        <v>262.51336900000001</v>
      </c>
      <c r="J41" s="92" t="s">
        <v>181</v>
      </c>
      <c r="K41" s="81"/>
      <c r="L41" s="81"/>
      <c r="M41" s="81"/>
      <c r="N41" s="81"/>
      <c r="O41" s="81"/>
      <c r="P41" s="81"/>
      <c r="Q41" s="81"/>
      <c r="R41" s="81"/>
      <c r="V41" s="64">
        <v>40</v>
      </c>
      <c r="W41" s="99">
        <v>4926.8530810000002</v>
      </c>
      <c r="X41" s="99">
        <v>4331.6744950000002</v>
      </c>
      <c r="Y41" s="99">
        <v>595.178586</v>
      </c>
      <c r="AB41" s="66"/>
      <c r="AC41" s="8"/>
      <c r="AD41"/>
      <c r="AE41"/>
      <c r="AF41"/>
      <c r="AG41"/>
      <c r="AH41"/>
      <c r="AI41"/>
      <c r="AJ41"/>
      <c r="AK41"/>
      <c r="AM41" s="64">
        <v>40</v>
      </c>
      <c r="AN41" s="99">
        <v>2.6730200000000002</v>
      </c>
      <c r="AO41" s="99">
        <v>7.4162999999999997</v>
      </c>
      <c r="AP41" s="99">
        <v>2.5676000000000001</v>
      </c>
      <c r="AQ41" s="99">
        <v>117</v>
      </c>
      <c r="AS41" s="64">
        <v>40</v>
      </c>
      <c r="AT41" s="99">
        <v>5.0850400000000002</v>
      </c>
      <c r="AU41" s="99">
        <v>7.4162999999999997</v>
      </c>
      <c r="AV41" s="99">
        <v>2.5676000000000001</v>
      </c>
      <c r="AW41" s="99">
        <v>117</v>
      </c>
      <c r="AZ41" s="66"/>
      <c r="BA41" s="8"/>
      <c r="BB41"/>
      <c r="BC41"/>
      <c r="BD41"/>
      <c r="BE41"/>
      <c r="BF41"/>
      <c r="BG41"/>
      <c r="BH41"/>
      <c r="BI41"/>
      <c r="BK41" s="64">
        <v>40</v>
      </c>
      <c r="BL41" s="99">
        <v>0.40583999999999998</v>
      </c>
      <c r="BM41" s="99">
        <v>0.43890000000000001</v>
      </c>
      <c r="BN41" s="99">
        <v>0.20519999999999999</v>
      </c>
      <c r="BO41" s="99">
        <v>133</v>
      </c>
      <c r="BQ41" s="64">
        <v>40</v>
      </c>
      <c r="BR41" s="99">
        <v>0.21349000000000001</v>
      </c>
      <c r="BS41" s="99">
        <v>0.43890000000000001</v>
      </c>
      <c r="BT41" s="99">
        <v>0.20519999999999999</v>
      </c>
      <c r="BU41" s="99">
        <v>133</v>
      </c>
      <c r="CJ41" s="64">
        <v>40</v>
      </c>
      <c r="CK41" s="99">
        <v>133.65100000000001</v>
      </c>
      <c r="CL41" s="99">
        <v>370.82</v>
      </c>
      <c r="CM41" s="99">
        <v>128.38</v>
      </c>
      <c r="CN41" s="99">
        <v>117</v>
      </c>
      <c r="CP41" s="64">
        <v>40</v>
      </c>
      <c r="CQ41" s="99">
        <v>254.25200000000001</v>
      </c>
      <c r="CR41" s="99">
        <v>370.82</v>
      </c>
      <c r="CS41" s="99">
        <v>128.38</v>
      </c>
      <c r="CT41" s="99">
        <v>117</v>
      </c>
    </row>
    <row r="42" spans="1:98" x14ac:dyDescent="0.25">
      <c r="A42" s="1">
        <v>11</v>
      </c>
      <c r="B42" s="1">
        <v>4</v>
      </c>
      <c r="C42">
        <v>13</v>
      </c>
      <c r="D42">
        <v>3</v>
      </c>
      <c r="E42" s="61">
        <v>4462.3719174230864</v>
      </c>
      <c r="F42" s="61">
        <v>89.247438348461728</v>
      </c>
      <c r="G42">
        <v>57.2</v>
      </c>
      <c r="H42" s="99">
        <v>594.96515599999998</v>
      </c>
      <c r="J42" s="92" t="s">
        <v>182</v>
      </c>
      <c r="K42" s="93"/>
      <c r="L42" s="93"/>
      <c r="M42" s="93"/>
      <c r="N42" s="93"/>
      <c r="O42" s="93"/>
      <c r="P42" s="93"/>
      <c r="Q42" s="81"/>
      <c r="R42" s="81"/>
      <c r="V42" s="64">
        <v>41</v>
      </c>
      <c r="W42" s="99">
        <v>4701.4224439999998</v>
      </c>
      <c r="X42" s="99">
        <v>4461.8429599999999</v>
      </c>
      <c r="Y42" s="99">
        <v>239.57948400000001</v>
      </c>
      <c r="AB42" s="66"/>
      <c r="AC42" s="8"/>
      <c r="AD42"/>
      <c r="AE42"/>
      <c r="AF42"/>
      <c r="AG42"/>
      <c r="AH42"/>
      <c r="AI42"/>
      <c r="AJ42"/>
      <c r="AK42"/>
      <c r="AM42" s="64">
        <v>41</v>
      </c>
      <c r="AN42" s="99">
        <v>2.8048299999999999</v>
      </c>
      <c r="AO42" s="99">
        <v>5.6429</v>
      </c>
      <c r="AP42" s="99">
        <v>2.6941999999999999</v>
      </c>
      <c r="AQ42" s="99">
        <v>117</v>
      </c>
      <c r="AS42" s="64">
        <v>41</v>
      </c>
      <c r="AT42" s="99">
        <v>5.3357900000000003</v>
      </c>
      <c r="AU42" s="99">
        <v>5.6429</v>
      </c>
      <c r="AV42" s="99">
        <v>2.6941999999999999</v>
      </c>
      <c r="AW42" s="99">
        <v>117</v>
      </c>
      <c r="AZ42" s="66"/>
      <c r="BA42" s="8"/>
      <c r="BB42"/>
      <c r="BC42"/>
      <c r="BD42"/>
      <c r="BE42"/>
      <c r="BF42"/>
      <c r="BG42"/>
      <c r="BH42"/>
      <c r="BI42"/>
      <c r="BK42" s="64">
        <v>41</v>
      </c>
      <c r="BL42" s="99">
        <v>0.41010000000000002</v>
      </c>
      <c r="BM42" s="99">
        <v>1.1856</v>
      </c>
      <c r="BN42" s="99">
        <v>0.20730000000000001</v>
      </c>
      <c r="BO42" s="99">
        <v>133</v>
      </c>
      <c r="BQ42" s="64">
        <v>41</v>
      </c>
      <c r="BR42" s="99">
        <v>0.21573000000000001</v>
      </c>
      <c r="BS42" s="99">
        <v>1.1856</v>
      </c>
      <c r="BT42" s="99">
        <v>0.20730000000000001</v>
      </c>
      <c r="BU42" s="99">
        <v>133</v>
      </c>
      <c r="CJ42" s="64">
        <v>41</v>
      </c>
      <c r="CK42" s="99">
        <v>140.24100000000001</v>
      </c>
      <c r="CL42" s="99">
        <v>282.14</v>
      </c>
      <c r="CM42" s="99">
        <v>134.71</v>
      </c>
      <c r="CN42" s="99">
        <v>117</v>
      </c>
      <c r="CP42" s="64">
        <v>41</v>
      </c>
      <c r="CQ42" s="99">
        <v>266.79000000000002</v>
      </c>
      <c r="CR42" s="99">
        <v>282.14</v>
      </c>
      <c r="CS42" s="99">
        <v>134.71</v>
      </c>
      <c r="CT42" s="99">
        <v>117</v>
      </c>
    </row>
    <row r="43" spans="1:98" x14ac:dyDescent="0.25">
      <c r="A43" s="1">
        <v>12</v>
      </c>
      <c r="B43" s="1">
        <v>1</v>
      </c>
      <c r="C43">
        <v>3</v>
      </c>
      <c r="D43">
        <v>3</v>
      </c>
      <c r="E43" s="61">
        <v>4000.5495220499633</v>
      </c>
      <c r="F43" s="61">
        <v>80.010990440999265</v>
      </c>
      <c r="G43">
        <v>57.6</v>
      </c>
      <c r="H43" s="100">
        <v>-140.560688</v>
      </c>
      <c r="J43" s="93" t="s">
        <v>183</v>
      </c>
      <c r="K43" s="93"/>
      <c r="L43" s="93"/>
      <c r="M43" s="93"/>
      <c r="N43" s="93"/>
      <c r="O43" s="93"/>
      <c r="P43" s="81"/>
      <c r="Q43" s="81"/>
      <c r="R43" s="81"/>
      <c r="V43" s="64">
        <v>42</v>
      </c>
      <c r="W43" s="99">
        <v>4549.8912360000004</v>
      </c>
      <c r="X43" s="99">
        <v>4392.9406689999996</v>
      </c>
      <c r="Y43" s="99">
        <v>156.95056700000001</v>
      </c>
      <c r="AB43" s="66"/>
      <c r="AC43" s="8"/>
      <c r="AD43"/>
      <c r="AE43"/>
      <c r="AF43"/>
      <c r="AG43"/>
      <c r="AH43"/>
      <c r="AI43"/>
      <c r="AJ43"/>
      <c r="AK43"/>
      <c r="AM43" s="64">
        <v>42</v>
      </c>
      <c r="AN43" s="99">
        <v>2.71719</v>
      </c>
      <c r="AO43" s="99">
        <v>8.7128999999999994</v>
      </c>
      <c r="AP43" s="99">
        <v>2.6101000000000001</v>
      </c>
      <c r="AQ43" s="99">
        <v>117</v>
      </c>
      <c r="AS43" s="64">
        <v>42</v>
      </c>
      <c r="AT43" s="99">
        <v>5.1690699999999996</v>
      </c>
      <c r="AU43" s="99">
        <v>8.7128999999999994</v>
      </c>
      <c r="AV43" s="99">
        <v>2.6101000000000001</v>
      </c>
      <c r="AW43" s="99">
        <v>117</v>
      </c>
      <c r="AZ43" s="66"/>
      <c r="BA43" s="8"/>
      <c r="BB43"/>
      <c r="BC43"/>
      <c r="BD43"/>
      <c r="BE43"/>
      <c r="BF43"/>
      <c r="BG43"/>
      <c r="BH43"/>
      <c r="BI43"/>
      <c r="BK43" s="64">
        <v>42</v>
      </c>
      <c r="BL43" s="99">
        <v>0.40076000000000001</v>
      </c>
      <c r="BM43" s="99">
        <v>0.47139999999999999</v>
      </c>
      <c r="BN43" s="99">
        <v>0.2026</v>
      </c>
      <c r="BO43" s="99">
        <v>133</v>
      </c>
      <c r="BQ43" s="64">
        <v>42</v>
      </c>
      <c r="BR43" s="99">
        <v>0.21082000000000001</v>
      </c>
      <c r="BS43" s="99">
        <v>0.47139999999999999</v>
      </c>
      <c r="BT43" s="99">
        <v>0.2026</v>
      </c>
      <c r="BU43" s="99">
        <v>133</v>
      </c>
      <c r="CJ43" s="64">
        <v>42</v>
      </c>
      <c r="CK43" s="99">
        <v>135.85900000000001</v>
      </c>
      <c r="CL43" s="99">
        <v>435.64</v>
      </c>
      <c r="CM43" s="99">
        <v>130.5</v>
      </c>
      <c r="CN43" s="99">
        <v>117</v>
      </c>
      <c r="CP43" s="64">
        <v>42</v>
      </c>
      <c r="CQ43" s="99">
        <v>258.45299999999997</v>
      </c>
      <c r="CR43" s="99">
        <v>435.64</v>
      </c>
      <c r="CS43" s="99">
        <v>130.5</v>
      </c>
      <c r="CT43" s="99">
        <v>117</v>
      </c>
    </row>
    <row r="44" spans="1:98" x14ac:dyDescent="0.25">
      <c r="A44" s="1">
        <v>13</v>
      </c>
      <c r="B44" s="1">
        <v>1</v>
      </c>
      <c r="C44">
        <v>2</v>
      </c>
      <c r="D44">
        <v>3</v>
      </c>
      <c r="E44" s="61">
        <v>3710.2931962406619</v>
      </c>
      <c r="F44" s="61">
        <v>74.205863924813244</v>
      </c>
      <c r="G44">
        <v>56.9</v>
      </c>
      <c r="H44" s="100">
        <v>-143.134299</v>
      </c>
      <c r="J44" s="94" t="s">
        <v>184</v>
      </c>
      <c r="K44" s="81"/>
      <c r="L44" s="81"/>
      <c r="M44" s="81"/>
      <c r="N44" s="81"/>
      <c r="O44" s="81"/>
      <c r="P44" s="81"/>
      <c r="Q44" s="81"/>
      <c r="R44" s="81"/>
      <c r="V44" s="64">
        <v>43</v>
      </c>
      <c r="W44" s="99">
        <v>4541.0136560000001</v>
      </c>
      <c r="X44" s="99">
        <v>4431.7980429999998</v>
      </c>
      <c r="Y44" s="99">
        <v>109.215613</v>
      </c>
      <c r="AB44" s="66"/>
      <c r="AC44" s="8"/>
      <c r="AD44"/>
      <c r="AE44"/>
      <c r="AF44"/>
      <c r="AG44"/>
      <c r="AH44"/>
      <c r="AI44"/>
      <c r="AJ44"/>
      <c r="AK44"/>
      <c r="AM44" s="64">
        <v>43</v>
      </c>
      <c r="AN44" s="99">
        <v>2.67842</v>
      </c>
      <c r="AO44" s="99">
        <v>16.029499999999999</v>
      </c>
      <c r="AP44" s="99">
        <v>2.5728</v>
      </c>
      <c r="AQ44" s="99">
        <v>117</v>
      </c>
      <c r="AS44" s="64">
        <v>43</v>
      </c>
      <c r="AT44" s="99">
        <v>5.0953099999999996</v>
      </c>
      <c r="AU44" s="99">
        <v>16.029499999999999</v>
      </c>
      <c r="AV44" s="99">
        <v>2.5728</v>
      </c>
      <c r="AW44" s="99">
        <v>117</v>
      </c>
      <c r="AZ44" s="66"/>
      <c r="BA44" s="8"/>
      <c r="BB44"/>
      <c r="BC44"/>
      <c r="BD44"/>
      <c r="BE44"/>
      <c r="BF44"/>
      <c r="BG44"/>
      <c r="BH44"/>
      <c r="BI44"/>
      <c r="BK44" s="64">
        <v>43</v>
      </c>
      <c r="BL44" s="99">
        <v>0.39652999999999999</v>
      </c>
      <c r="BM44" s="99">
        <v>1.4216</v>
      </c>
      <c r="BN44" s="99">
        <v>0.20050000000000001</v>
      </c>
      <c r="BO44" s="99">
        <v>133</v>
      </c>
      <c r="BQ44" s="64">
        <v>43</v>
      </c>
      <c r="BR44" s="99">
        <v>0.20859</v>
      </c>
      <c r="BS44" s="99">
        <v>1.4216</v>
      </c>
      <c r="BT44" s="99">
        <v>0.20050000000000001</v>
      </c>
      <c r="BU44" s="99">
        <v>133</v>
      </c>
      <c r="CJ44" s="64">
        <v>43</v>
      </c>
      <c r="CK44" s="99">
        <v>133.92099999999999</v>
      </c>
      <c r="CL44" s="99">
        <v>801.47</v>
      </c>
      <c r="CM44" s="99">
        <v>128.63999999999999</v>
      </c>
      <c r="CN44" s="99">
        <v>117</v>
      </c>
      <c r="CP44" s="64">
        <v>43</v>
      </c>
      <c r="CQ44" s="99">
        <v>254.76599999999999</v>
      </c>
      <c r="CR44" s="99">
        <v>801.47</v>
      </c>
      <c r="CS44" s="99">
        <v>128.63999999999999</v>
      </c>
      <c r="CT44" s="99">
        <v>117</v>
      </c>
    </row>
    <row r="45" spans="1:98" x14ac:dyDescent="0.25">
      <c r="A45" s="1">
        <v>14</v>
      </c>
      <c r="B45" s="1">
        <v>1</v>
      </c>
      <c r="C45">
        <v>4</v>
      </c>
      <c r="D45">
        <v>3</v>
      </c>
      <c r="E45" s="61">
        <v>4429.9100329343719</v>
      </c>
      <c r="F45" s="61">
        <v>88.598200658687432</v>
      </c>
      <c r="G45">
        <v>58.2</v>
      </c>
      <c r="H45" s="99">
        <v>414.779158</v>
      </c>
      <c r="K45" s="81"/>
      <c r="L45" s="81"/>
      <c r="M45" s="81"/>
      <c r="N45" s="81"/>
      <c r="O45" s="81"/>
      <c r="P45" s="81"/>
      <c r="Q45" s="81"/>
      <c r="R45" s="81"/>
      <c r="V45" s="64">
        <v>44</v>
      </c>
      <c r="W45" s="99">
        <v>4489.8317129999996</v>
      </c>
      <c r="X45" s="99">
        <v>4449.2571950000001</v>
      </c>
      <c r="Y45" s="99">
        <v>40.574517999999998</v>
      </c>
      <c r="AB45" s="66"/>
      <c r="AC45" s="8"/>
      <c r="AD45"/>
      <c r="AE45"/>
      <c r="AF45"/>
      <c r="AG45"/>
      <c r="AH45"/>
      <c r="AI45"/>
      <c r="AJ45"/>
      <c r="AK45"/>
      <c r="AM45" s="64">
        <v>44</v>
      </c>
      <c r="AN45" s="99">
        <v>2.80863</v>
      </c>
      <c r="AO45" s="100">
        <v>-2.4569000000000001</v>
      </c>
      <c r="AP45" s="99">
        <v>2.6979000000000002</v>
      </c>
      <c r="AQ45" s="99">
        <v>117</v>
      </c>
      <c r="AS45" s="64">
        <v>44</v>
      </c>
      <c r="AT45" s="99">
        <v>5.3430400000000002</v>
      </c>
      <c r="AU45" s="100">
        <v>-2.4569000000000001</v>
      </c>
      <c r="AV45" s="99">
        <v>2.6979000000000002</v>
      </c>
      <c r="AW45" s="99">
        <v>117</v>
      </c>
      <c r="AZ45" s="66"/>
      <c r="BA45" s="8"/>
      <c r="BB45"/>
      <c r="BC45"/>
      <c r="BD45"/>
      <c r="BE45"/>
      <c r="BF45"/>
      <c r="BG45"/>
      <c r="BH45"/>
      <c r="BI45"/>
      <c r="BK45" s="64">
        <v>44</v>
      </c>
      <c r="BL45" s="99">
        <v>0.41156999999999999</v>
      </c>
      <c r="BM45" s="99">
        <v>2.2555000000000001</v>
      </c>
      <c r="BN45" s="99">
        <v>0.20810000000000001</v>
      </c>
      <c r="BO45" s="99">
        <v>133</v>
      </c>
      <c r="BQ45" s="64">
        <v>44</v>
      </c>
      <c r="BR45" s="99">
        <v>0.2165</v>
      </c>
      <c r="BS45" s="99">
        <v>2.2555000000000001</v>
      </c>
      <c r="BT45" s="99">
        <v>0.20810000000000001</v>
      </c>
      <c r="BU45" s="99">
        <v>133</v>
      </c>
      <c r="CJ45" s="64">
        <v>44</v>
      </c>
      <c r="CK45" s="99">
        <v>140.43199999999999</v>
      </c>
      <c r="CL45" s="100">
        <v>-122.85</v>
      </c>
      <c r="CM45" s="99">
        <v>134.88999999999999</v>
      </c>
      <c r="CN45" s="99">
        <v>117</v>
      </c>
      <c r="CP45" s="64">
        <v>44</v>
      </c>
      <c r="CQ45" s="99">
        <v>267.15199999999999</v>
      </c>
      <c r="CR45" s="100">
        <v>-122.85</v>
      </c>
      <c r="CS45" s="99">
        <v>134.88999999999999</v>
      </c>
      <c r="CT45" s="99">
        <v>117</v>
      </c>
    </row>
    <row r="46" spans="1:98" x14ac:dyDescent="0.25">
      <c r="A46" s="1">
        <v>16</v>
      </c>
      <c r="B46" s="1">
        <v>1</v>
      </c>
      <c r="C46">
        <v>1</v>
      </c>
      <c r="D46">
        <v>3</v>
      </c>
      <c r="E46" s="61">
        <v>4867.0400835408464</v>
      </c>
      <c r="F46" s="61">
        <v>97.34080167081693</v>
      </c>
      <c r="G46">
        <v>57.6</v>
      </c>
      <c r="H46" s="99">
        <v>400.375291</v>
      </c>
      <c r="J46" s="95" t="s">
        <v>185</v>
      </c>
      <c r="K46" s="81"/>
      <c r="L46" s="81"/>
      <c r="M46" s="81"/>
      <c r="N46" s="81"/>
      <c r="O46" s="81"/>
      <c r="P46" s="81" t="s">
        <v>198</v>
      </c>
      <c r="Q46" s="81"/>
      <c r="R46" s="81"/>
      <c r="V46" s="64">
        <v>45</v>
      </c>
      <c r="W46" s="99">
        <v>5297.0765520000004</v>
      </c>
      <c r="X46" s="99">
        <v>4320.8135739999998</v>
      </c>
      <c r="Y46" s="99">
        <v>976.26297799999998</v>
      </c>
      <c r="AB46" s="66"/>
      <c r="AC46" s="8"/>
      <c r="AD46"/>
      <c r="AE46"/>
      <c r="AF46"/>
      <c r="AG46"/>
      <c r="AH46"/>
      <c r="AI46"/>
      <c r="AJ46"/>
      <c r="AK46"/>
      <c r="AM46" s="64">
        <v>45</v>
      </c>
      <c r="AN46" s="99">
        <v>2.7041499999999998</v>
      </c>
      <c r="AO46" s="99">
        <v>12.0693</v>
      </c>
      <c r="AP46" s="99">
        <v>2.5975000000000001</v>
      </c>
      <c r="AQ46" s="99">
        <v>117</v>
      </c>
      <c r="AS46" s="64">
        <v>45</v>
      </c>
      <c r="AT46" s="99">
        <v>5.1442699999999997</v>
      </c>
      <c r="AU46" s="99">
        <v>12.0693</v>
      </c>
      <c r="AV46" s="99">
        <v>2.5975000000000001</v>
      </c>
      <c r="AW46" s="99">
        <v>117</v>
      </c>
      <c r="AZ46" s="66"/>
      <c r="BA46" s="8"/>
      <c r="BB46"/>
      <c r="BC46"/>
      <c r="BD46"/>
      <c r="BE46"/>
      <c r="BF46"/>
      <c r="BG46"/>
      <c r="BH46"/>
      <c r="BI46"/>
      <c r="BK46" s="64">
        <v>45</v>
      </c>
      <c r="BL46" s="99">
        <v>0.40392</v>
      </c>
      <c r="BM46" s="99">
        <v>0.83499999999999996</v>
      </c>
      <c r="BN46" s="99">
        <v>0.20419999999999999</v>
      </c>
      <c r="BO46" s="99">
        <v>133</v>
      </c>
      <c r="BQ46" s="64">
        <v>45</v>
      </c>
      <c r="BR46" s="99">
        <v>0.21248</v>
      </c>
      <c r="BS46" s="99">
        <v>0.83499999999999996</v>
      </c>
      <c r="BT46" s="99">
        <v>0.20419999999999999</v>
      </c>
      <c r="BU46" s="99">
        <v>133</v>
      </c>
      <c r="CJ46" s="64">
        <v>45</v>
      </c>
      <c r="CK46" s="99">
        <v>135.20699999999999</v>
      </c>
      <c r="CL46" s="99">
        <v>603.46</v>
      </c>
      <c r="CM46" s="99">
        <v>129.88</v>
      </c>
      <c r="CN46" s="99">
        <v>117</v>
      </c>
      <c r="CP46" s="64">
        <v>45</v>
      </c>
      <c r="CQ46" s="99">
        <v>257.21300000000002</v>
      </c>
      <c r="CR46" s="99">
        <v>603.46</v>
      </c>
      <c r="CS46" s="99">
        <v>129.88</v>
      </c>
      <c r="CT46" s="99">
        <v>117</v>
      </c>
    </row>
    <row r="47" spans="1:98" x14ac:dyDescent="0.25">
      <c r="A47" s="1">
        <v>17</v>
      </c>
      <c r="B47" s="1">
        <v>3</v>
      </c>
      <c r="C47">
        <v>11</v>
      </c>
      <c r="D47">
        <v>3</v>
      </c>
      <c r="E47" s="61">
        <v>4395.9795967547598</v>
      </c>
      <c r="F47" s="61">
        <v>87.919591935095198</v>
      </c>
      <c r="G47">
        <v>57.6</v>
      </c>
      <c r="H47" s="99">
        <v>271.56758100000002</v>
      </c>
      <c r="J47" s="95" t="s">
        <v>186</v>
      </c>
      <c r="K47" s="81"/>
      <c r="L47" s="81"/>
      <c r="M47" s="81"/>
      <c r="N47" s="81"/>
      <c r="O47" s="81"/>
      <c r="P47" s="81"/>
      <c r="Q47" s="81"/>
      <c r="R47" s="81"/>
      <c r="V47" s="64">
        <v>46</v>
      </c>
      <c r="W47" s="99">
        <v>3833.6621420000001</v>
      </c>
      <c r="X47" s="99">
        <v>4426.2421990000003</v>
      </c>
      <c r="Y47" s="100">
        <v>-592.58005700000001</v>
      </c>
      <c r="AB47" s="66"/>
      <c r="AC47" s="8"/>
      <c r="AD47"/>
      <c r="AE47"/>
      <c r="AF47"/>
      <c r="AG47"/>
      <c r="AH47"/>
      <c r="AI47"/>
      <c r="AJ47"/>
      <c r="AK47"/>
      <c r="AM47" s="64">
        <v>46</v>
      </c>
      <c r="AN47" s="99">
        <v>2.7419699999999998</v>
      </c>
      <c r="AO47" s="99">
        <v>13.6435</v>
      </c>
      <c r="AP47" s="99">
        <v>2.6339000000000001</v>
      </c>
      <c r="AQ47" s="99">
        <v>117</v>
      </c>
      <c r="AS47" s="64">
        <v>46</v>
      </c>
      <c r="AT47" s="99">
        <v>5.2162100000000002</v>
      </c>
      <c r="AU47" s="99">
        <v>13.6435</v>
      </c>
      <c r="AV47" s="99">
        <v>2.6339000000000001</v>
      </c>
      <c r="AW47" s="99">
        <v>117</v>
      </c>
      <c r="AZ47" s="66"/>
      <c r="BA47" s="8"/>
      <c r="BB47"/>
      <c r="BC47"/>
      <c r="BD47"/>
      <c r="BE47"/>
      <c r="BF47"/>
      <c r="BG47"/>
      <c r="BH47"/>
      <c r="BI47"/>
      <c r="BK47" s="64">
        <v>46</v>
      </c>
      <c r="BL47" s="99">
        <v>0.40107999999999999</v>
      </c>
      <c r="BM47" s="99">
        <v>1.2197</v>
      </c>
      <c r="BN47" s="99">
        <v>0.20280000000000001</v>
      </c>
      <c r="BO47" s="99">
        <v>133</v>
      </c>
      <c r="BQ47" s="64">
        <v>46</v>
      </c>
      <c r="BR47" s="99">
        <v>0.21098</v>
      </c>
      <c r="BS47" s="99">
        <v>1.2197</v>
      </c>
      <c r="BT47" s="99">
        <v>0.20280000000000001</v>
      </c>
      <c r="BU47" s="99">
        <v>133</v>
      </c>
      <c r="CJ47" s="64">
        <v>46</v>
      </c>
      <c r="CK47" s="99">
        <v>137.09800000000001</v>
      </c>
      <c r="CL47" s="99">
        <v>682.18</v>
      </c>
      <c r="CM47" s="99">
        <v>131.69</v>
      </c>
      <c r="CN47" s="99">
        <v>117</v>
      </c>
      <c r="CP47" s="64">
        <v>46</v>
      </c>
      <c r="CQ47" s="99">
        <v>260.81099999999998</v>
      </c>
      <c r="CR47" s="99">
        <v>682.18</v>
      </c>
      <c r="CS47" s="99">
        <v>131.69</v>
      </c>
      <c r="CT47" s="99">
        <v>117</v>
      </c>
    </row>
    <row r="48" spans="1:98" x14ac:dyDescent="0.25">
      <c r="A48" s="1">
        <v>18</v>
      </c>
      <c r="B48" s="1">
        <v>3</v>
      </c>
      <c r="C48">
        <v>10</v>
      </c>
      <c r="D48">
        <v>3</v>
      </c>
      <c r="E48" s="61">
        <v>5144.0131737488955</v>
      </c>
      <c r="F48" s="61">
        <v>102.88026347497791</v>
      </c>
      <c r="G48">
        <v>58</v>
      </c>
      <c r="H48" s="99">
        <v>314.35671100000002</v>
      </c>
      <c r="J48" s="95" t="s">
        <v>187</v>
      </c>
      <c r="K48" s="81"/>
      <c r="L48" s="81"/>
      <c r="M48" s="81"/>
      <c r="N48" s="81"/>
      <c r="O48" s="81"/>
      <c r="P48" s="81"/>
      <c r="Q48" s="81"/>
      <c r="R48" s="81"/>
      <c r="V48" s="64">
        <v>47</v>
      </c>
      <c r="W48" s="99">
        <v>3552.8135590000002</v>
      </c>
      <c r="X48" s="99">
        <v>4007.1345120000001</v>
      </c>
      <c r="Y48" s="100">
        <v>-454.32095299999997</v>
      </c>
      <c r="AB48" s="66"/>
      <c r="AC48" s="8"/>
      <c r="AD48"/>
      <c r="AE48"/>
      <c r="AF48"/>
      <c r="AG48"/>
      <c r="AH48"/>
      <c r="AI48"/>
      <c r="AJ48"/>
      <c r="AK48"/>
      <c r="AM48" s="64">
        <v>47</v>
      </c>
      <c r="AN48" s="99">
        <v>2.6466400000000001</v>
      </c>
      <c r="AO48" s="99">
        <v>19.230899999999998</v>
      </c>
      <c r="AP48" s="99">
        <v>2.5423</v>
      </c>
      <c r="AQ48" s="99">
        <v>117</v>
      </c>
      <c r="AS48" s="64">
        <v>47</v>
      </c>
      <c r="AT48" s="99">
        <v>5.0348699999999997</v>
      </c>
      <c r="AU48" s="99">
        <v>19.230899999999998</v>
      </c>
      <c r="AV48" s="99">
        <v>2.5423</v>
      </c>
      <c r="AW48" s="99">
        <v>117</v>
      </c>
      <c r="AZ48" s="66"/>
      <c r="BA48" s="8"/>
      <c r="BB48"/>
      <c r="BC48"/>
      <c r="BD48"/>
      <c r="BE48"/>
      <c r="BF48"/>
      <c r="BG48"/>
      <c r="BH48"/>
      <c r="BI48"/>
      <c r="BK48" s="64">
        <v>47</v>
      </c>
      <c r="BL48" s="99">
        <v>0.39257999999999998</v>
      </c>
      <c r="BM48" s="99">
        <v>1.2117</v>
      </c>
      <c r="BN48" s="99">
        <v>0.19850000000000001</v>
      </c>
      <c r="BO48" s="99">
        <v>133</v>
      </c>
      <c r="BQ48" s="64">
        <v>47</v>
      </c>
      <c r="BR48" s="99">
        <v>0.20652000000000001</v>
      </c>
      <c r="BS48" s="99">
        <v>1.2117</v>
      </c>
      <c r="BT48" s="99">
        <v>0.19850000000000001</v>
      </c>
      <c r="BU48" s="99">
        <v>133</v>
      </c>
      <c r="CJ48" s="64">
        <v>47</v>
      </c>
      <c r="CK48" s="99">
        <v>132.33199999999999</v>
      </c>
      <c r="CL48" s="99">
        <v>961.54</v>
      </c>
      <c r="CM48" s="99">
        <v>127.11</v>
      </c>
      <c r="CN48" s="99">
        <v>117</v>
      </c>
      <c r="CP48" s="64">
        <v>47</v>
      </c>
      <c r="CQ48" s="99">
        <v>251.744</v>
      </c>
      <c r="CR48" s="99">
        <v>961.54</v>
      </c>
      <c r="CS48" s="99">
        <v>127.11</v>
      </c>
      <c r="CT48" s="99">
        <v>117</v>
      </c>
    </row>
    <row r="49" spans="1:98" x14ac:dyDescent="0.25">
      <c r="A49" s="1">
        <v>20</v>
      </c>
      <c r="B49" s="1">
        <v>4</v>
      </c>
      <c r="C49">
        <v>14</v>
      </c>
      <c r="D49">
        <v>3</v>
      </c>
      <c r="E49" s="61">
        <v>4299.0922965700047</v>
      </c>
      <c r="F49" s="61">
        <v>85.981845931400088</v>
      </c>
      <c r="G49" s="61">
        <v>58.2</v>
      </c>
      <c r="H49" s="99">
        <v>407.15857399999999</v>
      </c>
      <c r="J49" s="95" t="s">
        <v>169</v>
      </c>
      <c r="K49" s="81"/>
      <c r="L49" s="81"/>
      <c r="M49" s="81"/>
      <c r="N49" s="81"/>
      <c r="O49" s="81"/>
      <c r="P49" s="81"/>
      <c r="Q49" s="81"/>
      <c r="R49" s="81"/>
      <c r="V49" s="64">
        <v>48</v>
      </c>
      <c r="W49" s="99">
        <v>3970.6986910000001</v>
      </c>
      <c r="X49" s="99">
        <v>4446.3808410000001</v>
      </c>
      <c r="Y49" s="100">
        <v>-475.68214999999998</v>
      </c>
      <c r="AB49" s="66"/>
      <c r="AC49" s="8"/>
      <c r="AD49"/>
      <c r="AE49"/>
      <c r="AF49"/>
      <c r="AG49"/>
      <c r="AH49"/>
      <c r="AI49"/>
      <c r="AJ49"/>
      <c r="AK49"/>
      <c r="AM49" s="64">
        <v>48</v>
      </c>
      <c r="AN49" s="99">
        <v>2.73644</v>
      </c>
      <c r="AO49" s="99">
        <v>15.370200000000001</v>
      </c>
      <c r="AP49" s="99">
        <v>2.6284999999999998</v>
      </c>
      <c r="AQ49" s="99">
        <v>117</v>
      </c>
      <c r="AS49" s="64">
        <v>48</v>
      </c>
      <c r="AT49" s="99">
        <v>5.2056899999999997</v>
      </c>
      <c r="AU49" s="99">
        <v>15.370200000000001</v>
      </c>
      <c r="AV49" s="99">
        <v>2.6284999999999998</v>
      </c>
      <c r="AW49" s="99">
        <v>117</v>
      </c>
      <c r="AZ49" s="66"/>
      <c r="BA49" s="8"/>
      <c r="BB49"/>
      <c r="BC49"/>
      <c r="BD49"/>
      <c r="BE49"/>
      <c r="BF49"/>
      <c r="BG49"/>
      <c r="BH49"/>
      <c r="BI49"/>
      <c r="BK49" s="64">
        <v>48</v>
      </c>
      <c r="BL49" s="99">
        <v>0.40211999999999998</v>
      </c>
      <c r="BM49" s="99">
        <v>0.50170000000000003</v>
      </c>
      <c r="BN49" s="99">
        <v>0.20330000000000001</v>
      </c>
      <c r="BO49" s="99">
        <v>133</v>
      </c>
      <c r="BQ49" s="64">
        <v>48</v>
      </c>
      <c r="BR49" s="99">
        <v>0.21153</v>
      </c>
      <c r="BS49" s="99">
        <v>0.50170000000000003</v>
      </c>
      <c r="BT49" s="99">
        <v>0.20330000000000001</v>
      </c>
      <c r="BU49" s="99">
        <v>133</v>
      </c>
      <c r="CJ49" s="64">
        <v>48</v>
      </c>
      <c r="CK49" s="99">
        <v>136.822</v>
      </c>
      <c r="CL49" s="99">
        <v>768.51</v>
      </c>
      <c r="CM49" s="99">
        <v>131.43</v>
      </c>
      <c r="CN49" s="99">
        <v>117</v>
      </c>
      <c r="CP49" s="64">
        <v>48</v>
      </c>
      <c r="CQ49" s="99">
        <v>260.28500000000003</v>
      </c>
      <c r="CR49" s="99">
        <v>768.51</v>
      </c>
      <c r="CS49" s="99">
        <v>131.43</v>
      </c>
      <c r="CT49" s="99">
        <v>117</v>
      </c>
    </row>
    <row r="50" spans="1:98" x14ac:dyDescent="0.25">
      <c r="A50" s="1">
        <v>1</v>
      </c>
      <c r="B50" s="1">
        <v>2</v>
      </c>
      <c r="C50">
        <v>6</v>
      </c>
      <c r="D50">
        <v>4</v>
      </c>
      <c r="E50" s="61">
        <v>5165.8983050847455</v>
      </c>
      <c r="F50" s="61">
        <v>103.31796610169491</v>
      </c>
      <c r="G50">
        <v>58.2</v>
      </c>
      <c r="H50" s="99">
        <v>335.76902000000001</v>
      </c>
      <c r="J50" s="95" t="s">
        <v>188</v>
      </c>
      <c r="K50" s="81"/>
      <c r="L50" s="81"/>
      <c r="M50" s="81"/>
      <c r="N50" s="81"/>
      <c r="O50" s="81"/>
      <c r="P50" s="81"/>
      <c r="Q50" s="81"/>
      <c r="R50" s="81"/>
      <c r="V50" s="64">
        <v>49</v>
      </c>
      <c r="W50" s="99">
        <v>4296.6111330000003</v>
      </c>
      <c r="X50" s="99">
        <v>4446.5162970000001</v>
      </c>
      <c r="Y50" s="100">
        <v>-149.90516400000001</v>
      </c>
      <c r="AB50" s="66"/>
      <c r="AC50" s="8"/>
      <c r="AD50"/>
      <c r="AE50"/>
      <c r="AF50"/>
      <c r="AG50"/>
      <c r="AH50"/>
      <c r="AI50"/>
      <c r="AJ50"/>
      <c r="AK50"/>
      <c r="AM50" s="64">
        <v>49</v>
      </c>
      <c r="AN50" s="99">
        <v>2.7854999999999999</v>
      </c>
      <c r="AO50" s="99">
        <v>1.1122000000000001</v>
      </c>
      <c r="AP50" s="99">
        <v>2.6757</v>
      </c>
      <c r="AQ50" s="99">
        <v>117</v>
      </c>
      <c r="AS50" s="64">
        <v>49</v>
      </c>
      <c r="AT50" s="99">
        <v>5.2990199999999996</v>
      </c>
      <c r="AU50" s="99">
        <v>1.1122000000000001</v>
      </c>
      <c r="AV50" s="99">
        <v>2.6757</v>
      </c>
      <c r="AW50" s="99">
        <v>117</v>
      </c>
      <c r="AZ50" s="66"/>
      <c r="BA50" s="8"/>
      <c r="BB50"/>
      <c r="BC50"/>
      <c r="BD50"/>
      <c r="BE50"/>
      <c r="BF50"/>
      <c r="BG50"/>
      <c r="BH50"/>
      <c r="BI50"/>
      <c r="BK50" s="64">
        <v>49</v>
      </c>
      <c r="BL50" s="99">
        <v>0.40927000000000002</v>
      </c>
      <c r="BM50" s="99">
        <v>0.20469999999999999</v>
      </c>
      <c r="BN50" s="99">
        <v>0.2069</v>
      </c>
      <c r="BO50" s="99">
        <v>133</v>
      </c>
      <c r="BQ50" s="64">
        <v>49</v>
      </c>
      <c r="BR50" s="99">
        <v>0.21529000000000001</v>
      </c>
      <c r="BS50" s="99">
        <v>0.20469999999999999</v>
      </c>
      <c r="BT50" s="99">
        <v>0.2069</v>
      </c>
      <c r="BU50" s="99">
        <v>133</v>
      </c>
      <c r="CJ50" s="64">
        <v>49</v>
      </c>
      <c r="CK50" s="99">
        <v>139.27500000000001</v>
      </c>
      <c r="CL50" s="99">
        <v>55.610900000000001</v>
      </c>
      <c r="CM50" s="99">
        <v>133.78</v>
      </c>
      <c r="CN50" s="99">
        <v>117</v>
      </c>
      <c r="CP50" s="64">
        <v>49</v>
      </c>
      <c r="CQ50" s="99">
        <v>264.95100000000002</v>
      </c>
      <c r="CR50" s="99">
        <v>55.610900000000001</v>
      </c>
      <c r="CS50" s="99">
        <v>133.78</v>
      </c>
      <c r="CT50" s="99">
        <v>117</v>
      </c>
    </row>
    <row r="51" spans="1:98" x14ac:dyDescent="0.25">
      <c r="A51" s="1">
        <v>2</v>
      </c>
      <c r="B51" s="1">
        <v>2</v>
      </c>
      <c r="C51">
        <v>7</v>
      </c>
      <c r="D51">
        <v>4</v>
      </c>
      <c r="E51" s="61">
        <v>4528.1863603502279</v>
      </c>
      <c r="F51" s="61">
        <v>90.563727207004561</v>
      </c>
      <c r="G51">
        <v>57.7</v>
      </c>
      <c r="H51" s="99">
        <v>180.95473999999999</v>
      </c>
      <c r="J51" s="95" t="s">
        <v>189</v>
      </c>
      <c r="K51" s="81"/>
      <c r="L51" s="81"/>
      <c r="M51" s="81"/>
      <c r="N51" s="81"/>
      <c r="O51" s="81"/>
      <c r="P51" s="81"/>
      <c r="Q51" s="81"/>
      <c r="R51" s="81"/>
      <c r="V51" s="64">
        <v>50</v>
      </c>
      <c r="W51" s="99">
        <v>4816.1815409999999</v>
      </c>
      <c r="X51" s="99">
        <v>4515.4185889999999</v>
      </c>
      <c r="Y51" s="99">
        <v>300.76295199999998</v>
      </c>
      <c r="AB51" s="66"/>
      <c r="AC51" s="8"/>
      <c r="AD51"/>
      <c r="AE51"/>
      <c r="AF51"/>
      <c r="AG51"/>
      <c r="AH51"/>
      <c r="AI51"/>
      <c r="AJ51"/>
      <c r="AK51"/>
      <c r="AM51" s="64">
        <v>50</v>
      </c>
      <c r="AN51" s="99">
        <v>2.7475100000000001</v>
      </c>
      <c r="AO51" s="99">
        <v>4.7007000000000003</v>
      </c>
      <c r="AP51" s="99">
        <v>2.6392000000000002</v>
      </c>
      <c r="AQ51" s="99">
        <v>117</v>
      </c>
      <c r="AS51" s="64">
        <v>50</v>
      </c>
      <c r="AT51" s="99">
        <v>5.2267599999999996</v>
      </c>
      <c r="AU51" s="99">
        <v>4.7007000000000003</v>
      </c>
      <c r="AV51" s="99">
        <v>2.6392000000000002</v>
      </c>
      <c r="AW51" s="99">
        <v>117</v>
      </c>
      <c r="AZ51" s="66"/>
      <c r="BA51" s="8"/>
      <c r="BB51"/>
      <c r="BC51"/>
      <c r="BD51"/>
      <c r="BE51"/>
      <c r="BF51"/>
      <c r="BG51"/>
      <c r="BH51"/>
      <c r="BI51"/>
      <c r="BK51" s="64">
        <v>50</v>
      </c>
      <c r="BL51" s="99">
        <v>0.40039999999999998</v>
      </c>
      <c r="BM51" s="99">
        <v>0.32750000000000001</v>
      </c>
      <c r="BN51" s="99">
        <v>0.2024</v>
      </c>
      <c r="BO51" s="99">
        <v>133</v>
      </c>
      <c r="BQ51" s="64">
        <v>50</v>
      </c>
      <c r="BR51" s="99">
        <v>0.21063000000000001</v>
      </c>
      <c r="BS51" s="99">
        <v>0.32750000000000001</v>
      </c>
      <c r="BT51" s="99">
        <v>0.2024</v>
      </c>
      <c r="BU51" s="99">
        <v>133</v>
      </c>
      <c r="CJ51" s="64">
        <v>50</v>
      </c>
      <c r="CK51" s="99">
        <v>137.376</v>
      </c>
      <c r="CL51" s="99">
        <v>235.03</v>
      </c>
      <c r="CM51" s="99">
        <v>131.96</v>
      </c>
      <c r="CN51" s="99">
        <v>117</v>
      </c>
      <c r="CP51" s="64">
        <v>50</v>
      </c>
      <c r="CQ51" s="99">
        <v>261.33800000000002</v>
      </c>
      <c r="CR51" s="99">
        <v>235.03</v>
      </c>
      <c r="CS51" s="99">
        <v>131.96</v>
      </c>
      <c r="CT51" s="99">
        <v>117</v>
      </c>
    </row>
    <row r="52" spans="1:98" x14ac:dyDescent="0.25">
      <c r="A52" s="1">
        <v>3</v>
      </c>
      <c r="B52" s="1">
        <v>1</v>
      </c>
      <c r="C52">
        <v>4</v>
      </c>
      <c r="D52">
        <v>4</v>
      </c>
      <c r="E52" s="61">
        <v>4917.9914049321224</v>
      </c>
      <c r="F52" s="61">
        <v>98.359828098642453</v>
      </c>
      <c r="G52">
        <v>58.2</v>
      </c>
      <c r="H52" s="99">
        <v>82.196601999999999</v>
      </c>
      <c r="J52" s="95" t="s">
        <v>172</v>
      </c>
      <c r="K52" s="93"/>
      <c r="L52" s="93"/>
      <c r="M52" s="93"/>
      <c r="N52" s="93"/>
      <c r="O52" s="93"/>
      <c r="P52" s="93"/>
      <c r="Q52" s="81"/>
      <c r="R52" s="81"/>
      <c r="V52" s="64">
        <v>51</v>
      </c>
      <c r="W52" s="99">
        <v>4433.4170620000004</v>
      </c>
      <c r="X52" s="99">
        <v>4485.3736719999997</v>
      </c>
      <c r="Y52" s="100">
        <v>-51.956609999999998</v>
      </c>
      <c r="AB52" s="66"/>
      <c r="AC52" s="8"/>
      <c r="AD52"/>
      <c r="AE52"/>
      <c r="AF52"/>
      <c r="AG52"/>
      <c r="AH52"/>
      <c r="AI52"/>
      <c r="AJ52"/>
      <c r="AK52"/>
      <c r="AM52" s="64">
        <v>51</v>
      </c>
      <c r="AN52" s="99">
        <v>2.7669199999999998</v>
      </c>
      <c r="AO52" s="99">
        <v>10.9636</v>
      </c>
      <c r="AP52" s="99">
        <v>2.6577999999999999</v>
      </c>
      <c r="AQ52" s="99">
        <v>117</v>
      </c>
      <c r="AS52" s="64">
        <v>51</v>
      </c>
      <c r="AT52" s="99">
        <v>5.2636900000000004</v>
      </c>
      <c r="AU52" s="99">
        <v>10.9636</v>
      </c>
      <c r="AV52" s="99">
        <v>2.6577999999999999</v>
      </c>
      <c r="AW52" s="99">
        <v>117</v>
      </c>
      <c r="AZ52" s="66"/>
      <c r="BA52" s="8"/>
      <c r="BB52"/>
      <c r="BC52"/>
      <c r="BD52"/>
      <c r="BE52"/>
      <c r="BF52"/>
      <c r="BG52"/>
      <c r="BH52"/>
      <c r="BI52"/>
      <c r="BK52" s="64">
        <v>51</v>
      </c>
      <c r="BL52" s="99">
        <v>0.40695999999999999</v>
      </c>
      <c r="BM52" s="99">
        <v>0.38819999999999999</v>
      </c>
      <c r="BN52" s="99">
        <v>0.20569999999999999</v>
      </c>
      <c r="BO52" s="99">
        <v>133</v>
      </c>
      <c r="BQ52" s="64">
        <v>51</v>
      </c>
      <c r="BR52" s="99">
        <v>0.21407999999999999</v>
      </c>
      <c r="BS52" s="99">
        <v>0.38819999999999999</v>
      </c>
      <c r="BT52" s="99">
        <v>0.20569999999999999</v>
      </c>
      <c r="BU52" s="99">
        <v>133</v>
      </c>
      <c r="CJ52" s="64">
        <v>51</v>
      </c>
      <c r="CK52" s="99">
        <v>138.346</v>
      </c>
      <c r="CL52" s="99">
        <v>548.17999999999995</v>
      </c>
      <c r="CM52" s="99">
        <v>132.88999999999999</v>
      </c>
      <c r="CN52" s="99">
        <v>117</v>
      </c>
      <c r="CP52" s="64">
        <v>51</v>
      </c>
      <c r="CQ52" s="99">
        <v>263.18400000000003</v>
      </c>
      <c r="CR52" s="99">
        <v>548.17999999999995</v>
      </c>
      <c r="CS52" s="99">
        <v>132.88999999999999</v>
      </c>
      <c r="CT52" s="99">
        <v>117</v>
      </c>
    </row>
    <row r="53" spans="1:98" x14ac:dyDescent="0.25">
      <c r="A53" s="1">
        <v>4</v>
      </c>
      <c r="B53" s="1">
        <v>4</v>
      </c>
      <c r="C53">
        <v>13</v>
      </c>
      <c r="D53">
        <v>4</v>
      </c>
      <c r="E53" s="61">
        <v>5001.022893405092</v>
      </c>
      <c r="F53" s="61">
        <v>100.02045786810184</v>
      </c>
      <c r="G53">
        <v>58</v>
      </c>
      <c r="H53" s="99">
        <v>454.734082</v>
      </c>
      <c r="J53" s="93" t="s">
        <v>190</v>
      </c>
      <c r="K53" s="93"/>
      <c r="L53" s="93"/>
      <c r="M53" s="93"/>
      <c r="N53" s="93"/>
      <c r="O53" s="93"/>
      <c r="P53" s="93"/>
      <c r="Q53" s="81"/>
      <c r="R53" s="81"/>
      <c r="V53" s="64">
        <v>52</v>
      </c>
      <c r="W53" s="99">
        <v>4639.4198729999998</v>
      </c>
      <c r="X53" s="99">
        <v>4502.8328229999997</v>
      </c>
      <c r="Y53" s="99">
        <v>136.58705</v>
      </c>
      <c r="AB53" s="66"/>
      <c r="AC53" s="8"/>
      <c r="AD53"/>
      <c r="AE53"/>
      <c r="AF53"/>
      <c r="AG53"/>
      <c r="AH53"/>
      <c r="AI53"/>
      <c r="AJ53"/>
      <c r="AK53"/>
      <c r="AM53" s="64">
        <v>52</v>
      </c>
      <c r="AN53" s="99">
        <v>2.7930000000000001</v>
      </c>
      <c r="AO53" s="100">
        <v>-3.6110000000000002</v>
      </c>
      <c r="AP53" s="99">
        <v>2.6829000000000001</v>
      </c>
      <c r="AQ53" s="99">
        <v>117</v>
      </c>
      <c r="AS53" s="64">
        <v>52</v>
      </c>
      <c r="AT53" s="99">
        <v>5.3132900000000003</v>
      </c>
      <c r="AU53" s="100">
        <v>-3.6110000000000002</v>
      </c>
      <c r="AV53" s="99">
        <v>2.6829000000000001</v>
      </c>
      <c r="AW53" s="99">
        <v>117</v>
      </c>
      <c r="AZ53" s="66"/>
      <c r="BA53" s="8"/>
      <c r="BB53"/>
      <c r="BC53"/>
      <c r="BD53"/>
      <c r="BE53"/>
      <c r="BF53"/>
      <c r="BG53"/>
      <c r="BH53"/>
      <c r="BI53"/>
      <c r="BK53" s="64">
        <v>52</v>
      </c>
      <c r="BL53" s="99">
        <v>0.41002</v>
      </c>
      <c r="BM53" s="99">
        <v>0.34920000000000001</v>
      </c>
      <c r="BN53" s="99">
        <v>0.20730000000000001</v>
      </c>
      <c r="BO53" s="99">
        <v>133</v>
      </c>
      <c r="BQ53" s="64">
        <v>52</v>
      </c>
      <c r="BR53" s="99">
        <v>0.21568999999999999</v>
      </c>
      <c r="BS53" s="99">
        <v>0.34920000000000001</v>
      </c>
      <c r="BT53" s="99">
        <v>0.20730000000000001</v>
      </c>
      <c r="BU53" s="99">
        <v>133</v>
      </c>
      <c r="CJ53" s="64">
        <v>52</v>
      </c>
      <c r="CK53" s="99">
        <v>139.65</v>
      </c>
      <c r="CL53" s="100">
        <v>-180.55</v>
      </c>
      <c r="CM53" s="99">
        <v>134.13999999999999</v>
      </c>
      <c r="CN53" s="99">
        <v>117</v>
      </c>
      <c r="CP53" s="64">
        <v>52</v>
      </c>
      <c r="CQ53" s="99">
        <v>265.66399999999999</v>
      </c>
      <c r="CR53" s="100">
        <v>-180.55</v>
      </c>
      <c r="CS53" s="99">
        <v>134.13999999999999</v>
      </c>
      <c r="CT53" s="99">
        <v>117</v>
      </c>
    </row>
    <row r="54" spans="1:98" x14ac:dyDescent="0.25">
      <c r="A54" s="1">
        <v>5</v>
      </c>
      <c r="B54" s="1">
        <v>1</v>
      </c>
      <c r="C54">
        <v>2</v>
      </c>
      <c r="D54">
        <v>4</v>
      </c>
      <c r="E54" s="61">
        <v>4587.972849224836</v>
      </c>
      <c r="F54" s="61">
        <v>91.759456984496722</v>
      </c>
      <c r="G54">
        <v>57.6</v>
      </c>
      <c r="H54" s="100">
        <v>-198.41009399999999</v>
      </c>
      <c r="J54" s="93" t="s">
        <v>191</v>
      </c>
      <c r="K54" s="96"/>
      <c r="L54" s="96"/>
      <c r="M54" s="96"/>
      <c r="N54" s="96"/>
      <c r="O54" s="96"/>
      <c r="P54" s="96"/>
      <c r="Q54" s="81"/>
      <c r="R54" s="81"/>
      <c r="V54" s="64">
        <v>53</v>
      </c>
      <c r="W54" s="99">
        <v>4720.6938710000004</v>
      </c>
      <c r="X54" s="99">
        <v>4374.3892029999997</v>
      </c>
      <c r="Y54" s="99">
        <v>346.30466799999999</v>
      </c>
      <c r="AB54" s="66"/>
      <c r="AC54" s="8"/>
      <c r="AD54"/>
      <c r="AE54"/>
      <c r="AF54"/>
      <c r="AG54"/>
      <c r="AH54"/>
      <c r="AI54"/>
      <c r="AJ54"/>
      <c r="AK54"/>
      <c r="AM54" s="64">
        <v>53</v>
      </c>
      <c r="AN54" s="99">
        <v>2.7536800000000001</v>
      </c>
      <c r="AO54" s="100">
        <v>-2.2086000000000001</v>
      </c>
      <c r="AP54" s="99">
        <v>2.6450999999999998</v>
      </c>
      <c r="AQ54" s="99">
        <v>117</v>
      </c>
      <c r="AS54" s="64">
        <v>53</v>
      </c>
      <c r="AT54" s="99">
        <v>5.2385000000000002</v>
      </c>
      <c r="AU54" s="100">
        <v>-2.2086000000000001</v>
      </c>
      <c r="AV54" s="99">
        <v>2.6450999999999998</v>
      </c>
      <c r="AW54" s="99">
        <v>117</v>
      </c>
      <c r="AZ54" s="66"/>
      <c r="BA54" s="8"/>
      <c r="BB54"/>
      <c r="BC54"/>
      <c r="BD54"/>
      <c r="BE54"/>
      <c r="BF54"/>
      <c r="BG54"/>
      <c r="BH54"/>
      <c r="BI54"/>
      <c r="BK54" s="64">
        <v>53</v>
      </c>
      <c r="BL54" s="99">
        <v>0.40864</v>
      </c>
      <c r="BM54" s="99">
        <v>0.19040000000000001</v>
      </c>
      <c r="BN54" s="99">
        <v>0.20660000000000001</v>
      </c>
      <c r="BO54" s="99">
        <v>133</v>
      </c>
      <c r="BQ54" s="64">
        <v>53</v>
      </c>
      <c r="BR54" s="99">
        <v>0.21496000000000001</v>
      </c>
      <c r="BS54" s="99">
        <v>0.19040000000000001</v>
      </c>
      <c r="BT54" s="99">
        <v>0.20660000000000001</v>
      </c>
      <c r="BU54" s="99">
        <v>133</v>
      </c>
      <c r="CJ54" s="64">
        <v>53</v>
      </c>
      <c r="CK54" s="99">
        <v>137.684</v>
      </c>
      <c r="CL54" s="100">
        <v>-110.43</v>
      </c>
      <c r="CM54" s="99">
        <v>132.26</v>
      </c>
      <c r="CN54" s="99">
        <v>117</v>
      </c>
      <c r="CP54" s="64">
        <v>53</v>
      </c>
      <c r="CQ54" s="99">
        <v>261.92500000000001</v>
      </c>
      <c r="CR54" s="100">
        <v>-110.43</v>
      </c>
      <c r="CS54" s="99">
        <v>132.26</v>
      </c>
      <c r="CT54" s="99">
        <v>117</v>
      </c>
    </row>
    <row r="55" spans="1:98" x14ac:dyDescent="0.25">
      <c r="A55" s="1">
        <v>6</v>
      </c>
      <c r="B55" s="1">
        <v>3</v>
      </c>
      <c r="C55">
        <v>9</v>
      </c>
      <c r="D55">
        <v>4</v>
      </c>
      <c r="E55" s="61">
        <v>5297.0765523335203</v>
      </c>
      <c r="F55" s="61">
        <v>105.94153104667041</v>
      </c>
      <c r="G55">
        <v>57.8</v>
      </c>
      <c r="H55" s="99">
        <v>976.26297799999998</v>
      </c>
      <c r="J55" s="97" t="s">
        <v>192</v>
      </c>
      <c r="R55" s="81"/>
      <c r="V55" s="64">
        <v>54</v>
      </c>
      <c r="W55" s="99">
        <v>4422.0344610000002</v>
      </c>
      <c r="X55" s="99">
        <v>4479.8178280000002</v>
      </c>
      <c r="Y55" s="100">
        <v>-57.783366999999998</v>
      </c>
      <c r="AM55" s="64">
        <v>54</v>
      </c>
      <c r="AN55" s="99">
        <v>2.6199300000000001</v>
      </c>
      <c r="AO55" s="99">
        <v>13.038399999999999</v>
      </c>
      <c r="AP55" s="99">
        <v>2.5165999999999999</v>
      </c>
      <c r="AQ55" s="99">
        <v>117</v>
      </c>
      <c r="AS55" s="64">
        <v>54</v>
      </c>
      <c r="AT55" s="99">
        <v>4.9840400000000002</v>
      </c>
      <c r="AU55" s="99">
        <v>13.038399999999999</v>
      </c>
      <c r="AV55" s="99">
        <v>2.5165999999999999</v>
      </c>
      <c r="AW55" s="99">
        <v>117</v>
      </c>
      <c r="BK55" s="64">
        <v>54</v>
      </c>
      <c r="BL55" s="99">
        <v>0.39981</v>
      </c>
      <c r="BM55" s="99">
        <v>0.37519999999999998</v>
      </c>
      <c r="BN55" s="99">
        <v>0.2021</v>
      </c>
      <c r="BO55" s="99">
        <v>133</v>
      </c>
      <c r="BQ55" s="64">
        <v>54</v>
      </c>
      <c r="BR55" s="99">
        <v>0.21032000000000001</v>
      </c>
      <c r="BS55" s="99">
        <v>0.37519999999999998</v>
      </c>
      <c r="BT55" s="99">
        <v>0.2021</v>
      </c>
      <c r="BU55" s="99">
        <v>133</v>
      </c>
      <c r="CJ55" s="64">
        <v>54</v>
      </c>
      <c r="CK55" s="99">
        <v>130.99600000000001</v>
      </c>
      <c r="CL55" s="99">
        <v>651.91999999999996</v>
      </c>
      <c r="CM55" s="99">
        <v>125.83</v>
      </c>
      <c r="CN55" s="99">
        <v>117</v>
      </c>
      <c r="CP55" s="64">
        <v>54</v>
      </c>
      <c r="CQ55" s="99">
        <v>249.202</v>
      </c>
      <c r="CR55" s="99">
        <v>651.91999999999996</v>
      </c>
      <c r="CS55" s="99">
        <v>125.83</v>
      </c>
      <c r="CT55" s="99">
        <v>117</v>
      </c>
    </row>
    <row r="56" spans="1:98" x14ac:dyDescent="0.25">
      <c r="A56" s="1">
        <v>7</v>
      </c>
      <c r="B56" s="1">
        <v>2</v>
      </c>
      <c r="C56">
        <v>8</v>
      </c>
      <c r="D56">
        <v>4</v>
      </c>
      <c r="E56" s="61">
        <v>4639.4198730821745</v>
      </c>
      <c r="F56" s="61">
        <v>92.788397461643484</v>
      </c>
      <c r="G56">
        <v>56.6</v>
      </c>
      <c r="H56" s="99">
        <v>136.58705</v>
      </c>
      <c r="J56" s="81" t="s">
        <v>193</v>
      </c>
      <c r="R56" s="81"/>
      <c r="V56" s="64">
        <v>55</v>
      </c>
      <c r="W56" s="99">
        <v>3200.1490880000001</v>
      </c>
      <c r="X56" s="99">
        <v>4060.7101400000001</v>
      </c>
      <c r="Y56" s="100">
        <v>-860.56105200000002</v>
      </c>
      <c r="AM56" s="64">
        <v>55</v>
      </c>
      <c r="AN56" s="99">
        <v>2.54508</v>
      </c>
      <c r="AO56" s="99">
        <v>3.9958999999999998</v>
      </c>
      <c r="AP56" s="99">
        <v>2.4447000000000001</v>
      </c>
      <c r="AQ56" s="99">
        <v>117</v>
      </c>
      <c r="AS56" s="64">
        <v>55</v>
      </c>
      <c r="AT56" s="99">
        <v>4.8416499999999996</v>
      </c>
      <c r="AU56" s="99">
        <v>3.9958999999999998</v>
      </c>
      <c r="AV56" s="99">
        <v>2.4447000000000001</v>
      </c>
      <c r="AW56" s="99">
        <v>117</v>
      </c>
      <c r="BK56" s="64">
        <v>55</v>
      </c>
      <c r="BL56" s="99">
        <v>0.40315000000000001</v>
      </c>
      <c r="BM56" s="100">
        <v>-0.56299999999999994</v>
      </c>
      <c r="BN56" s="99">
        <v>0.20380000000000001</v>
      </c>
      <c r="BO56" s="99">
        <v>133</v>
      </c>
      <c r="BQ56" s="64">
        <v>55</v>
      </c>
      <c r="BR56" s="99">
        <v>0.21207000000000001</v>
      </c>
      <c r="BS56" s="100">
        <v>-0.56299999999999994</v>
      </c>
      <c r="BT56" s="99">
        <v>0.20380000000000001</v>
      </c>
      <c r="BU56" s="99">
        <v>133</v>
      </c>
      <c r="CJ56" s="64">
        <v>55</v>
      </c>
      <c r="CK56" s="99">
        <v>127.254</v>
      </c>
      <c r="CL56" s="99">
        <v>199.79</v>
      </c>
      <c r="CM56" s="99">
        <v>122.24</v>
      </c>
      <c r="CN56" s="99">
        <v>117</v>
      </c>
      <c r="CP56" s="64">
        <v>55</v>
      </c>
      <c r="CQ56" s="99">
        <v>242.083</v>
      </c>
      <c r="CR56" s="99">
        <v>199.79</v>
      </c>
      <c r="CS56" s="99">
        <v>122.24</v>
      </c>
      <c r="CT56" s="99">
        <v>117</v>
      </c>
    </row>
    <row r="57" spans="1:98" x14ac:dyDescent="0.25">
      <c r="A57" s="1">
        <v>8</v>
      </c>
      <c r="B57" s="1">
        <v>1</v>
      </c>
      <c r="C57">
        <v>3</v>
      </c>
      <c r="D57">
        <v>4</v>
      </c>
      <c r="E57" s="61">
        <v>4382.8474576271183</v>
      </c>
      <c r="F57" s="61">
        <v>87.656949152542367</v>
      </c>
      <c r="G57">
        <v>58</v>
      </c>
      <c r="H57" s="99">
        <v>32.336753000000002</v>
      </c>
      <c r="K57" s="81"/>
      <c r="L57" s="81"/>
      <c r="M57" s="81"/>
      <c r="N57" s="81"/>
      <c r="O57" s="81"/>
      <c r="P57" s="81"/>
      <c r="Q57" s="81"/>
      <c r="R57" s="81"/>
      <c r="V57" s="64">
        <v>56</v>
      </c>
      <c r="W57" s="99">
        <v>4836.5079930000002</v>
      </c>
      <c r="X57" s="99">
        <v>4499.9564700000001</v>
      </c>
      <c r="Y57" s="99">
        <v>336.55152299999997</v>
      </c>
      <c r="AM57" s="64">
        <v>56</v>
      </c>
      <c r="AN57" s="99">
        <v>2.5282</v>
      </c>
      <c r="AO57" s="99">
        <v>6.9714</v>
      </c>
      <c r="AP57" s="99">
        <v>2.4285000000000001</v>
      </c>
      <c r="AQ57" s="99">
        <v>117</v>
      </c>
      <c r="AS57" s="64">
        <v>56</v>
      </c>
      <c r="AT57" s="99">
        <v>4.8095499999999998</v>
      </c>
      <c r="AU57" s="99">
        <v>6.9714</v>
      </c>
      <c r="AV57" s="99">
        <v>2.4285000000000001</v>
      </c>
      <c r="AW57" s="99">
        <v>117</v>
      </c>
      <c r="BK57" s="64">
        <v>56</v>
      </c>
      <c r="BL57" s="99">
        <v>0.39999000000000001</v>
      </c>
      <c r="BM57" s="100">
        <v>-0.4506</v>
      </c>
      <c r="BN57" s="99">
        <v>0.20219999999999999</v>
      </c>
      <c r="BO57" s="99">
        <v>133</v>
      </c>
      <c r="BQ57" s="64">
        <v>56</v>
      </c>
      <c r="BR57" s="99">
        <v>0.21041000000000001</v>
      </c>
      <c r="BS57" s="100">
        <v>-0.4506</v>
      </c>
      <c r="BT57" s="99">
        <v>0.20219999999999999</v>
      </c>
      <c r="BU57" s="99">
        <v>133</v>
      </c>
      <c r="CJ57" s="64">
        <v>56</v>
      </c>
      <c r="CK57" s="99">
        <v>126.41</v>
      </c>
      <c r="CL57" s="99">
        <v>348.57</v>
      </c>
      <c r="CM57" s="99">
        <v>121.43</v>
      </c>
      <c r="CN57" s="99">
        <v>117</v>
      </c>
      <c r="CP57" s="64">
        <v>56</v>
      </c>
      <c r="CQ57" s="99">
        <v>240.47800000000001</v>
      </c>
      <c r="CR57" s="99">
        <v>348.57</v>
      </c>
      <c r="CS57" s="99">
        <v>121.43</v>
      </c>
      <c r="CT57" s="99">
        <v>117</v>
      </c>
    </row>
    <row r="58" spans="1:98" x14ac:dyDescent="0.25">
      <c r="A58" s="1">
        <v>10</v>
      </c>
      <c r="B58" s="1">
        <v>1</v>
      </c>
      <c r="C58">
        <v>1</v>
      </c>
      <c r="D58">
        <v>4</v>
      </c>
      <c r="E58" s="61">
        <v>5266.5073499879509</v>
      </c>
      <c r="F58" s="61">
        <v>105.33014699975902</v>
      </c>
      <c r="G58">
        <v>55.2</v>
      </c>
      <c r="H58" s="99">
        <v>481.105208</v>
      </c>
      <c r="Q58" s="81"/>
      <c r="R58" s="81"/>
      <c r="V58" s="64">
        <v>57</v>
      </c>
      <c r="W58" s="99">
        <v>4424.3088600000001</v>
      </c>
      <c r="X58" s="99">
        <v>4281.6084129999999</v>
      </c>
      <c r="Y58" s="99">
        <v>142.700447</v>
      </c>
      <c r="AM58" s="64">
        <v>57</v>
      </c>
      <c r="AN58" s="99">
        <v>2.5718000000000001</v>
      </c>
      <c r="AO58" s="99">
        <v>5.1978999999999997</v>
      </c>
      <c r="AP58" s="99">
        <v>2.4704000000000002</v>
      </c>
      <c r="AQ58" s="99">
        <v>117</v>
      </c>
      <c r="AS58" s="64">
        <v>57</v>
      </c>
      <c r="AT58" s="99">
        <v>4.8924899999999996</v>
      </c>
      <c r="AU58" s="99">
        <v>5.1978999999999997</v>
      </c>
      <c r="AV58" s="99">
        <v>2.4704000000000002</v>
      </c>
      <c r="AW58" s="99">
        <v>117</v>
      </c>
      <c r="BK58" s="64">
        <v>57</v>
      </c>
      <c r="BL58" s="99">
        <v>0.38989000000000001</v>
      </c>
      <c r="BM58" s="99">
        <v>0.29609999999999997</v>
      </c>
      <c r="BN58" s="99">
        <v>0.1971</v>
      </c>
      <c r="BO58" s="99">
        <v>133</v>
      </c>
      <c r="BQ58" s="64">
        <v>57</v>
      </c>
      <c r="BR58" s="99">
        <v>0.2051</v>
      </c>
      <c r="BS58" s="99">
        <v>0.29609999999999997</v>
      </c>
      <c r="BT58" s="99">
        <v>0.1971</v>
      </c>
      <c r="BU58" s="99">
        <v>133</v>
      </c>
      <c r="CJ58" s="64">
        <v>57</v>
      </c>
      <c r="CK58" s="99">
        <v>128.59</v>
      </c>
      <c r="CL58" s="99">
        <v>259.89</v>
      </c>
      <c r="CM58" s="99">
        <v>123.52</v>
      </c>
      <c r="CN58" s="99">
        <v>117</v>
      </c>
      <c r="CP58" s="64">
        <v>57</v>
      </c>
      <c r="CQ58" s="99">
        <v>244.625</v>
      </c>
      <c r="CR58" s="99">
        <v>259.89</v>
      </c>
      <c r="CS58" s="99">
        <v>123.52</v>
      </c>
      <c r="CT58" s="99">
        <v>117</v>
      </c>
    </row>
    <row r="59" spans="1:98" x14ac:dyDescent="0.25">
      <c r="A59" s="1">
        <v>11</v>
      </c>
      <c r="B59" s="1">
        <v>3</v>
      </c>
      <c r="C59">
        <v>12</v>
      </c>
      <c r="D59">
        <v>4</v>
      </c>
      <c r="E59" s="61">
        <v>4235.1254719254557</v>
      </c>
      <c r="F59" s="61">
        <v>84.702509438509111</v>
      </c>
      <c r="G59">
        <v>57.7</v>
      </c>
      <c r="H59" s="99">
        <v>54.039648999999997</v>
      </c>
      <c r="Q59" s="81"/>
      <c r="R59" s="81"/>
      <c r="V59" s="64">
        <v>58</v>
      </c>
      <c r="W59" s="99">
        <v>4382.8474580000002</v>
      </c>
      <c r="X59" s="99">
        <v>4350.5107049999997</v>
      </c>
      <c r="Y59" s="99">
        <v>32.336753000000002</v>
      </c>
      <c r="AM59" s="64">
        <v>58</v>
      </c>
      <c r="AN59" s="99">
        <v>2.7321300000000002</v>
      </c>
      <c r="AO59" s="99">
        <v>8.2678999999999991</v>
      </c>
      <c r="AP59" s="99">
        <v>2.6244000000000001</v>
      </c>
      <c r="AQ59" s="99">
        <v>117</v>
      </c>
      <c r="AS59" s="64">
        <v>58</v>
      </c>
      <c r="AT59" s="99">
        <v>5.1975100000000003</v>
      </c>
      <c r="AU59" s="99">
        <v>8.2678999999999991</v>
      </c>
      <c r="AV59" s="99">
        <v>2.6244000000000001</v>
      </c>
      <c r="AW59" s="99">
        <v>117</v>
      </c>
      <c r="BK59" s="64">
        <v>58</v>
      </c>
      <c r="BL59" s="99">
        <v>0.41406999999999999</v>
      </c>
      <c r="BM59" s="100">
        <v>-0.41810000000000003</v>
      </c>
      <c r="BN59" s="99">
        <v>0.20930000000000001</v>
      </c>
      <c r="BO59" s="99">
        <v>133</v>
      </c>
      <c r="BQ59" s="64">
        <v>58</v>
      </c>
      <c r="BR59" s="99">
        <v>0.21782000000000001</v>
      </c>
      <c r="BS59" s="100">
        <v>-0.41810000000000003</v>
      </c>
      <c r="BT59" s="99">
        <v>0.20930000000000001</v>
      </c>
      <c r="BU59" s="99">
        <v>133</v>
      </c>
      <c r="CJ59" s="64">
        <v>58</v>
      </c>
      <c r="CK59" s="99">
        <v>136.607</v>
      </c>
      <c r="CL59" s="99">
        <v>413.39</v>
      </c>
      <c r="CM59" s="99">
        <v>131.22</v>
      </c>
      <c r="CN59" s="99">
        <v>117</v>
      </c>
      <c r="CP59" s="64">
        <v>58</v>
      </c>
      <c r="CQ59" s="99">
        <v>259.875</v>
      </c>
      <c r="CR59" s="99">
        <v>413.39</v>
      </c>
      <c r="CS59" s="99">
        <v>131.22</v>
      </c>
      <c r="CT59" s="99">
        <v>117</v>
      </c>
    </row>
    <row r="60" spans="1:98" x14ac:dyDescent="0.25">
      <c r="A60" s="1">
        <v>14</v>
      </c>
      <c r="B60" s="1">
        <v>3</v>
      </c>
      <c r="C60">
        <v>11</v>
      </c>
      <c r="D60">
        <v>4</v>
      </c>
      <c r="E60" s="61">
        <v>4005.4349746967628</v>
      </c>
      <c r="F60" s="61">
        <v>80.108699493935262</v>
      </c>
      <c r="G60">
        <v>58.3</v>
      </c>
      <c r="H60" s="99">
        <v>131.33348599999999</v>
      </c>
      <c r="Q60" s="81"/>
      <c r="R60" s="81"/>
      <c r="V60" s="64">
        <v>59</v>
      </c>
      <c r="W60" s="99">
        <v>4391.775404</v>
      </c>
      <c r="X60" s="99">
        <v>4320.4657880000004</v>
      </c>
      <c r="Y60" s="99">
        <v>71.309616000000005</v>
      </c>
      <c r="AM60" s="64">
        <v>59</v>
      </c>
      <c r="AN60" s="99">
        <v>2.7178200000000001</v>
      </c>
      <c r="AO60" s="99">
        <v>15.5845</v>
      </c>
      <c r="AP60" s="99">
        <v>2.6107</v>
      </c>
      <c r="AQ60" s="99">
        <v>117</v>
      </c>
      <c r="AS60" s="64">
        <v>59</v>
      </c>
      <c r="AT60" s="99">
        <v>5.17028</v>
      </c>
      <c r="AU60" s="99">
        <v>15.5845</v>
      </c>
      <c r="AV60" s="99">
        <v>2.6107</v>
      </c>
      <c r="AW60" s="99">
        <v>117</v>
      </c>
      <c r="BK60" s="64">
        <v>59</v>
      </c>
      <c r="BL60" s="99">
        <v>0.41010999999999997</v>
      </c>
      <c r="BM60" s="99">
        <v>0.53200000000000003</v>
      </c>
      <c r="BN60" s="99">
        <v>0.20730000000000001</v>
      </c>
      <c r="BO60" s="99">
        <v>133</v>
      </c>
      <c r="BQ60" s="64">
        <v>59</v>
      </c>
      <c r="BR60" s="99">
        <v>0.21573999999999999</v>
      </c>
      <c r="BS60" s="99">
        <v>0.53200000000000003</v>
      </c>
      <c r="BT60" s="99">
        <v>0.20730000000000001</v>
      </c>
      <c r="BU60" s="99">
        <v>133</v>
      </c>
      <c r="CJ60" s="64">
        <v>59</v>
      </c>
      <c r="CK60" s="99">
        <v>135.89099999999999</v>
      </c>
      <c r="CL60" s="99">
        <v>779.22</v>
      </c>
      <c r="CM60" s="99">
        <v>130.53</v>
      </c>
      <c r="CN60" s="99">
        <v>117</v>
      </c>
      <c r="CP60" s="64">
        <v>59</v>
      </c>
      <c r="CQ60" s="99">
        <v>258.51400000000001</v>
      </c>
      <c r="CR60" s="99">
        <v>779.22</v>
      </c>
      <c r="CS60" s="99">
        <v>130.53</v>
      </c>
      <c r="CT60" s="99">
        <v>117</v>
      </c>
    </row>
    <row r="61" spans="1:98" x14ac:dyDescent="0.25">
      <c r="A61" s="1">
        <v>15</v>
      </c>
      <c r="B61" s="1">
        <v>3</v>
      </c>
      <c r="C61">
        <v>10</v>
      </c>
      <c r="D61">
        <v>4</v>
      </c>
      <c r="E61" s="61">
        <v>5107.408064904811</v>
      </c>
      <c r="F61" s="61">
        <v>102.14816129809623</v>
      </c>
      <c r="G61">
        <v>58.7</v>
      </c>
      <c r="H61" s="99">
        <v>267.187771</v>
      </c>
      <c r="Q61" s="81"/>
      <c r="R61" s="81"/>
      <c r="V61" s="64">
        <v>60</v>
      </c>
      <c r="W61" s="99">
        <v>4492.1458750000002</v>
      </c>
      <c r="X61" s="99">
        <v>4337.9249390000004</v>
      </c>
      <c r="Y61" s="99">
        <v>154.22093599999999</v>
      </c>
      <c r="AM61" s="64">
        <v>60</v>
      </c>
      <c r="AN61" s="99">
        <v>2.7014800000000001</v>
      </c>
      <c r="AO61" s="100">
        <v>-2.9018999999999999</v>
      </c>
      <c r="AP61" s="99">
        <v>2.5950000000000002</v>
      </c>
      <c r="AQ61" s="99">
        <v>117</v>
      </c>
      <c r="AS61" s="64">
        <v>60</v>
      </c>
      <c r="AT61" s="99">
        <v>5.1391900000000001</v>
      </c>
      <c r="AU61" s="100">
        <v>-2.9018999999999999</v>
      </c>
      <c r="AV61" s="99">
        <v>2.5950000000000002</v>
      </c>
      <c r="AW61" s="99">
        <v>117</v>
      </c>
      <c r="BK61" s="64">
        <v>60</v>
      </c>
      <c r="BL61" s="99">
        <v>0.40662999999999999</v>
      </c>
      <c r="BM61" s="99">
        <v>1.3660000000000001</v>
      </c>
      <c r="BN61" s="99">
        <v>0.2056</v>
      </c>
      <c r="BO61" s="99">
        <v>133</v>
      </c>
      <c r="BQ61" s="64">
        <v>60</v>
      </c>
      <c r="BR61" s="99">
        <v>0.21390999999999999</v>
      </c>
      <c r="BS61" s="99">
        <v>1.3660000000000001</v>
      </c>
      <c r="BT61" s="99">
        <v>0.2056</v>
      </c>
      <c r="BU61" s="99">
        <v>133</v>
      </c>
      <c r="CJ61" s="64">
        <v>60</v>
      </c>
      <c r="CK61" s="99">
        <v>135.07400000000001</v>
      </c>
      <c r="CL61" s="100">
        <v>-145.1</v>
      </c>
      <c r="CM61" s="99">
        <v>129.75</v>
      </c>
      <c r="CN61" s="99">
        <v>117</v>
      </c>
      <c r="CP61" s="64">
        <v>60</v>
      </c>
      <c r="CQ61" s="99">
        <v>256.959</v>
      </c>
      <c r="CR61" s="100">
        <v>-145.1</v>
      </c>
      <c r="CS61" s="99">
        <v>129.75</v>
      </c>
      <c r="CT61" s="99">
        <v>117</v>
      </c>
    </row>
    <row r="62" spans="1:98" ht="15.6" customHeight="1" x14ac:dyDescent="0.25">
      <c r="A62" s="1">
        <v>16</v>
      </c>
      <c r="B62" s="1">
        <v>4</v>
      </c>
      <c r="C62">
        <v>16</v>
      </c>
      <c r="D62">
        <v>4</v>
      </c>
      <c r="E62" s="61">
        <v>4514.0097999839345</v>
      </c>
      <c r="F62" s="61">
        <v>90.280195999678696</v>
      </c>
      <c r="G62">
        <v>58</v>
      </c>
      <c r="H62" s="99">
        <v>502.05345499999999</v>
      </c>
      <c r="Q62" s="81"/>
      <c r="R62" s="81"/>
      <c r="V62" s="64">
        <v>61</v>
      </c>
      <c r="W62" s="99">
        <v>3667.5647039999999</v>
      </c>
      <c r="X62" s="99">
        <v>4209.4813190000004</v>
      </c>
      <c r="Y62" s="100">
        <v>-541.91661499999998</v>
      </c>
      <c r="AM62" s="64">
        <v>61</v>
      </c>
      <c r="AN62" s="99">
        <v>2.5924200000000002</v>
      </c>
      <c r="AO62" s="99">
        <v>11.6243</v>
      </c>
      <c r="AP62" s="99">
        <v>2.4902000000000002</v>
      </c>
      <c r="AQ62" s="99">
        <v>117</v>
      </c>
      <c r="AS62" s="64">
        <v>61</v>
      </c>
      <c r="AT62" s="99">
        <v>4.9317200000000003</v>
      </c>
      <c r="AU62" s="99">
        <v>11.6243</v>
      </c>
      <c r="AV62" s="99">
        <v>2.4902000000000002</v>
      </c>
      <c r="AW62" s="99">
        <v>117</v>
      </c>
      <c r="BK62" s="64">
        <v>61</v>
      </c>
      <c r="BL62" s="99">
        <v>0.39661000000000002</v>
      </c>
      <c r="BM62" s="100">
        <v>-5.4519999999999999E-2</v>
      </c>
      <c r="BN62" s="99">
        <v>0.20050000000000001</v>
      </c>
      <c r="BO62" s="99">
        <v>133</v>
      </c>
      <c r="BQ62" s="64">
        <v>61</v>
      </c>
      <c r="BR62" s="99">
        <v>0.20863000000000001</v>
      </c>
      <c r="BS62" s="100">
        <v>-5.4519999999999999E-2</v>
      </c>
      <c r="BT62" s="99">
        <v>0.20050000000000001</v>
      </c>
      <c r="BU62" s="99">
        <v>133</v>
      </c>
      <c r="CJ62" s="64">
        <v>61</v>
      </c>
      <c r="CK62" s="99">
        <v>129.62100000000001</v>
      </c>
      <c r="CL62" s="99">
        <v>581.21</v>
      </c>
      <c r="CM62" s="99">
        <v>124.51</v>
      </c>
      <c r="CN62" s="99">
        <v>117</v>
      </c>
      <c r="CP62" s="64">
        <v>61</v>
      </c>
      <c r="CQ62" s="99">
        <v>246.58600000000001</v>
      </c>
      <c r="CR62" s="99">
        <v>581.21</v>
      </c>
      <c r="CS62" s="99">
        <v>124.51</v>
      </c>
      <c r="CT62" s="99">
        <v>117</v>
      </c>
    </row>
    <row r="63" spans="1:98" x14ac:dyDescent="0.25">
      <c r="A63" s="1">
        <v>17</v>
      </c>
      <c r="B63" s="1">
        <v>4</v>
      </c>
      <c r="C63">
        <v>14</v>
      </c>
      <c r="D63">
        <v>4</v>
      </c>
      <c r="E63" s="61">
        <v>4228.7714675877578</v>
      </c>
      <c r="F63" s="61">
        <v>84.575429351755162</v>
      </c>
      <c r="G63">
        <v>57.8</v>
      </c>
      <c r="H63" s="99">
        <v>418.03851400000002</v>
      </c>
      <c r="V63" s="64">
        <v>62</v>
      </c>
      <c r="W63" s="99">
        <v>4258.025866</v>
      </c>
      <c r="X63" s="99">
        <v>4314.909944</v>
      </c>
      <c r="Y63" s="100">
        <v>-56.884078000000002</v>
      </c>
      <c r="AM63" s="64">
        <v>62</v>
      </c>
      <c r="AN63" s="99">
        <v>2.53457</v>
      </c>
      <c r="AO63" s="99">
        <v>13.198499999999999</v>
      </c>
      <c r="AP63" s="99">
        <v>2.4346000000000001</v>
      </c>
      <c r="AQ63" s="99">
        <v>117</v>
      </c>
      <c r="AS63" s="64">
        <v>62</v>
      </c>
      <c r="AT63" s="99">
        <v>4.8216599999999996</v>
      </c>
      <c r="AU63" s="99">
        <v>13.198499999999999</v>
      </c>
      <c r="AV63" s="99">
        <v>2.4346000000000001</v>
      </c>
      <c r="AW63" s="99">
        <v>117</v>
      </c>
      <c r="BK63" s="64">
        <v>62</v>
      </c>
      <c r="BL63" s="99">
        <v>0.39999000000000001</v>
      </c>
      <c r="BM63" s="99">
        <v>0.3301</v>
      </c>
      <c r="BN63" s="99">
        <v>0.20219999999999999</v>
      </c>
      <c r="BO63" s="99">
        <v>133</v>
      </c>
      <c r="BQ63" s="64">
        <v>62</v>
      </c>
      <c r="BR63" s="99">
        <v>0.21041000000000001</v>
      </c>
      <c r="BS63" s="99">
        <v>0.3301</v>
      </c>
      <c r="BT63" s="99">
        <v>0.20219999999999999</v>
      </c>
      <c r="BU63" s="99">
        <v>133</v>
      </c>
      <c r="CJ63" s="64">
        <v>62</v>
      </c>
      <c r="CK63" s="99">
        <v>126.72799999999999</v>
      </c>
      <c r="CL63" s="99">
        <v>659.93</v>
      </c>
      <c r="CM63" s="99">
        <v>121.73</v>
      </c>
      <c r="CN63" s="99">
        <v>117</v>
      </c>
      <c r="CP63" s="64">
        <v>62</v>
      </c>
      <c r="CQ63" s="99">
        <v>241.083</v>
      </c>
      <c r="CR63" s="99">
        <v>659.93</v>
      </c>
      <c r="CS63" s="99">
        <v>121.73</v>
      </c>
      <c r="CT63" s="99">
        <v>117</v>
      </c>
    </row>
    <row r="64" spans="1:98" x14ac:dyDescent="0.25">
      <c r="A64" s="1">
        <v>19</v>
      </c>
      <c r="B64" s="1">
        <v>4</v>
      </c>
      <c r="C64">
        <v>15</v>
      </c>
      <c r="D64">
        <v>4</v>
      </c>
      <c r="E64" s="61">
        <v>4800.324363402683</v>
      </c>
      <c r="F64" s="61">
        <v>96.006487268053661</v>
      </c>
      <c r="G64">
        <v>57.3</v>
      </c>
      <c r="H64" s="99">
        <v>489.61052799999999</v>
      </c>
      <c r="V64" s="64">
        <v>63</v>
      </c>
      <c r="W64" s="99">
        <v>4044.0414489999998</v>
      </c>
      <c r="X64" s="99">
        <v>4335.0485849999995</v>
      </c>
      <c r="Y64" s="100">
        <v>-291.007136</v>
      </c>
      <c r="AM64" s="64">
        <v>63</v>
      </c>
      <c r="AN64" s="99">
        <v>2.6323500000000002</v>
      </c>
      <c r="AO64" s="99">
        <v>18.785900000000002</v>
      </c>
      <c r="AP64" s="99">
        <v>2.5286</v>
      </c>
      <c r="AQ64" s="99">
        <v>117</v>
      </c>
      <c r="AS64" s="64">
        <v>63</v>
      </c>
      <c r="AT64" s="99">
        <v>5.0076700000000001</v>
      </c>
      <c r="AU64" s="99">
        <v>18.785900000000002</v>
      </c>
      <c r="AV64" s="99">
        <v>2.5286</v>
      </c>
      <c r="AW64" s="99">
        <v>117</v>
      </c>
      <c r="BK64" s="64">
        <v>63</v>
      </c>
      <c r="BL64" s="99">
        <v>0.40841</v>
      </c>
      <c r="BM64" s="99">
        <v>0.32219999999999999</v>
      </c>
      <c r="BN64" s="99">
        <v>0.20649999999999999</v>
      </c>
      <c r="BO64" s="99">
        <v>133</v>
      </c>
      <c r="BQ64" s="64">
        <v>63</v>
      </c>
      <c r="BR64" s="99">
        <v>0.21484</v>
      </c>
      <c r="BS64" s="99">
        <v>0.32219999999999999</v>
      </c>
      <c r="BT64" s="99">
        <v>0.20649999999999999</v>
      </c>
      <c r="BU64" s="99">
        <v>133</v>
      </c>
      <c r="CJ64" s="64">
        <v>63</v>
      </c>
      <c r="CK64" s="99">
        <v>131.61699999999999</v>
      </c>
      <c r="CL64" s="99">
        <v>939.29</v>
      </c>
      <c r="CM64" s="99">
        <v>126.43</v>
      </c>
      <c r="CN64" s="99">
        <v>117</v>
      </c>
      <c r="CP64" s="64">
        <v>63</v>
      </c>
      <c r="CQ64" s="99">
        <v>250.38399999999999</v>
      </c>
      <c r="CR64" s="99">
        <v>939.29</v>
      </c>
      <c r="CS64" s="99">
        <v>126.43</v>
      </c>
      <c r="CT64" s="99">
        <v>117</v>
      </c>
    </row>
    <row r="65" spans="1:98" x14ac:dyDescent="0.25">
      <c r="A65" s="1">
        <v>20</v>
      </c>
      <c r="B65" s="1">
        <v>2</v>
      </c>
      <c r="C65">
        <v>5</v>
      </c>
      <c r="D65">
        <v>4</v>
      </c>
      <c r="E65" s="61">
        <v>4382.2033095027709</v>
      </c>
      <c r="F65" s="61">
        <v>87.644066190055412</v>
      </c>
      <c r="G65">
        <v>58</v>
      </c>
      <c r="H65" s="99">
        <v>48.146903999999999</v>
      </c>
      <c r="V65" s="64">
        <v>64</v>
      </c>
      <c r="W65" s="99">
        <v>4385.0423330000003</v>
      </c>
      <c r="X65" s="99">
        <v>3895.8022559999999</v>
      </c>
      <c r="Y65" s="99">
        <v>489.24007699999999</v>
      </c>
      <c r="AM65" s="64">
        <v>64</v>
      </c>
      <c r="AN65" s="99">
        <v>2.59735</v>
      </c>
      <c r="AO65" s="99">
        <v>14.9252</v>
      </c>
      <c r="AP65" s="99">
        <v>2.4948999999999999</v>
      </c>
      <c r="AQ65" s="99">
        <v>117</v>
      </c>
      <c r="AS65" s="64">
        <v>64</v>
      </c>
      <c r="AT65" s="99">
        <v>4.9410999999999996</v>
      </c>
      <c r="AU65" s="99">
        <v>14.9252</v>
      </c>
      <c r="AV65" s="99">
        <v>2.4948999999999999</v>
      </c>
      <c r="AW65" s="99">
        <v>117</v>
      </c>
      <c r="BK65" s="64">
        <v>64</v>
      </c>
      <c r="BL65" s="99">
        <v>0.39831</v>
      </c>
      <c r="BM65" s="100">
        <v>-0.38779999999999998</v>
      </c>
      <c r="BN65" s="99">
        <v>0.2014</v>
      </c>
      <c r="BO65" s="99">
        <v>133</v>
      </c>
      <c r="BQ65" s="64">
        <v>64</v>
      </c>
      <c r="BR65" s="99">
        <v>0.20952999999999999</v>
      </c>
      <c r="BS65" s="100">
        <v>-0.38779999999999998</v>
      </c>
      <c r="BT65" s="99">
        <v>0.2014</v>
      </c>
      <c r="BU65" s="99">
        <v>133</v>
      </c>
      <c r="CJ65" s="64">
        <v>64</v>
      </c>
      <c r="CK65" s="99">
        <v>129.86799999999999</v>
      </c>
      <c r="CL65" s="99">
        <v>746.26</v>
      </c>
      <c r="CM65" s="99">
        <v>124.75</v>
      </c>
      <c r="CN65" s="99">
        <v>117</v>
      </c>
      <c r="CP65" s="64">
        <v>64</v>
      </c>
      <c r="CQ65" s="99">
        <v>247.05500000000001</v>
      </c>
      <c r="CR65" s="99">
        <v>746.26</v>
      </c>
      <c r="CS65" s="99">
        <v>124.75</v>
      </c>
      <c r="CT65" s="99">
        <v>117</v>
      </c>
    </row>
    <row r="66" spans="1:98" x14ac:dyDescent="0.25">
      <c r="A66" s="1">
        <v>2</v>
      </c>
      <c r="B66" s="1">
        <v>1</v>
      </c>
      <c r="C66">
        <v>4</v>
      </c>
      <c r="D66">
        <v>5</v>
      </c>
      <c r="E66" s="61">
        <v>4786.3598682625106</v>
      </c>
      <c r="F66" s="61">
        <v>95.72719736525022</v>
      </c>
      <c r="G66">
        <v>57.6</v>
      </c>
      <c r="H66" s="99">
        <v>426.54248200000001</v>
      </c>
      <c r="V66" s="64">
        <v>65</v>
      </c>
      <c r="W66" s="99">
        <v>3971.2394570000001</v>
      </c>
      <c r="X66" s="99">
        <v>3936.4576780000002</v>
      </c>
      <c r="Y66" s="99">
        <v>34.781779</v>
      </c>
      <c r="AM66" s="64">
        <v>65</v>
      </c>
      <c r="AN66" s="99">
        <v>2.6573000000000002</v>
      </c>
      <c r="AO66" s="99">
        <v>0.66720000000000002</v>
      </c>
      <c r="AP66" s="99">
        <v>2.5525000000000002</v>
      </c>
      <c r="AQ66" s="99">
        <v>117</v>
      </c>
      <c r="AS66" s="64">
        <v>65</v>
      </c>
      <c r="AT66" s="99">
        <v>5.0551500000000003</v>
      </c>
      <c r="AU66" s="99">
        <v>0.66720000000000002</v>
      </c>
      <c r="AV66" s="99">
        <v>2.5525000000000002</v>
      </c>
      <c r="AW66" s="99">
        <v>117</v>
      </c>
      <c r="BK66" s="64">
        <v>65</v>
      </c>
      <c r="BL66" s="99">
        <v>0.40895999999999999</v>
      </c>
      <c r="BM66" s="100">
        <v>-0.68479999999999996</v>
      </c>
      <c r="BN66" s="99">
        <v>0.20680000000000001</v>
      </c>
      <c r="BO66" s="99">
        <v>133</v>
      </c>
      <c r="BQ66" s="64">
        <v>65</v>
      </c>
      <c r="BR66" s="99">
        <v>0.21512999999999999</v>
      </c>
      <c r="BS66" s="100">
        <v>-0.68479999999999996</v>
      </c>
      <c r="BT66" s="99">
        <v>0.20680000000000001</v>
      </c>
      <c r="BU66" s="99">
        <v>133</v>
      </c>
      <c r="CJ66" s="64">
        <v>65</v>
      </c>
      <c r="CK66" s="99">
        <v>132.86500000000001</v>
      </c>
      <c r="CL66" s="99">
        <v>33.3613</v>
      </c>
      <c r="CM66" s="99">
        <v>127.63</v>
      </c>
      <c r="CN66" s="99">
        <v>117</v>
      </c>
      <c r="CP66" s="64">
        <v>65</v>
      </c>
      <c r="CQ66" s="99">
        <v>252.75800000000001</v>
      </c>
      <c r="CR66" s="99">
        <v>33.3613</v>
      </c>
      <c r="CS66" s="99">
        <v>127.63</v>
      </c>
      <c r="CT66" s="99">
        <v>117</v>
      </c>
    </row>
    <row r="67" spans="1:98" x14ac:dyDescent="0.25">
      <c r="A67" s="1">
        <v>3</v>
      </c>
      <c r="B67" s="1">
        <v>3</v>
      </c>
      <c r="C67">
        <v>12</v>
      </c>
      <c r="D67">
        <v>5</v>
      </c>
      <c r="E67" s="61">
        <v>5095.529761426621</v>
      </c>
      <c r="F67" s="61">
        <v>101.91059522853242</v>
      </c>
      <c r="G67">
        <v>58.9</v>
      </c>
      <c r="H67" s="99">
        <v>400.764343</v>
      </c>
      <c r="V67" s="64">
        <v>66</v>
      </c>
      <c r="W67" s="99">
        <v>3778.1673230000001</v>
      </c>
      <c r="X67" s="99">
        <v>4005.35997</v>
      </c>
      <c r="Y67" s="100">
        <v>-227.19264699999999</v>
      </c>
      <c r="AM67" s="64">
        <v>66</v>
      </c>
      <c r="AN67" s="99">
        <v>2.6003799999999999</v>
      </c>
      <c r="AO67" s="99">
        <v>4.2557</v>
      </c>
      <c r="AP67" s="99">
        <v>2.4977999999999998</v>
      </c>
      <c r="AQ67" s="99">
        <v>117</v>
      </c>
      <c r="AS67" s="64">
        <v>66</v>
      </c>
      <c r="AT67" s="99">
        <v>4.9468500000000004</v>
      </c>
      <c r="AU67" s="99">
        <v>4.2557</v>
      </c>
      <c r="AV67" s="99">
        <v>2.4977999999999998</v>
      </c>
      <c r="AW67" s="99">
        <v>117</v>
      </c>
      <c r="BK67" s="64">
        <v>66</v>
      </c>
      <c r="BL67" s="99">
        <v>0.39976</v>
      </c>
      <c r="BM67" s="100">
        <v>-0.56200000000000006</v>
      </c>
      <c r="BN67" s="99">
        <v>0.2021</v>
      </c>
      <c r="BO67" s="99">
        <v>133</v>
      </c>
      <c r="BQ67" s="64">
        <v>66</v>
      </c>
      <c r="BR67" s="99">
        <v>0.21029</v>
      </c>
      <c r="BS67" s="100">
        <v>-0.56200000000000006</v>
      </c>
      <c r="BT67" s="99">
        <v>0.2021</v>
      </c>
      <c r="BU67" s="99">
        <v>133</v>
      </c>
      <c r="CJ67" s="64">
        <v>66</v>
      </c>
      <c r="CK67" s="99">
        <v>130.01900000000001</v>
      </c>
      <c r="CL67" s="99">
        <v>212.78</v>
      </c>
      <c r="CM67" s="99">
        <v>124.89</v>
      </c>
      <c r="CN67" s="99">
        <v>117</v>
      </c>
      <c r="CP67" s="64">
        <v>66</v>
      </c>
      <c r="CQ67" s="99">
        <v>247.34299999999999</v>
      </c>
      <c r="CR67" s="99">
        <v>212.78</v>
      </c>
      <c r="CS67" s="99">
        <v>124.89</v>
      </c>
      <c r="CT67" s="99">
        <v>117</v>
      </c>
    </row>
    <row r="68" spans="1:98" x14ac:dyDescent="0.25">
      <c r="A68" s="1">
        <v>4</v>
      </c>
      <c r="B68" s="1">
        <v>3</v>
      </c>
      <c r="C68">
        <v>9</v>
      </c>
      <c r="D68">
        <v>5</v>
      </c>
      <c r="E68" s="61">
        <v>4669.8750903687051</v>
      </c>
      <c r="F68" s="61">
        <v>93.397501807374098</v>
      </c>
      <c r="G68">
        <v>57.7</v>
      </c>
      <c r="H68" s="100">
        <v>-190.09278399999999</v>
      </c>
      <c r="V68" s="64">
        <v>67</v>
      </c>
      <c r="W68" s="99">
        <v>3755.5028520000001</v>
      </c>
      <c r="X68" s="99">
        <v>3975.3150529999998</v>
      </c>
      <c r="Y68" s="100">
        <v>-219.81220099999999</v>
      </c>
      <c r="AM68" s="64">
        <v>67</v>
      </c>
      <c r="AN68" s="99">
        <v>2.62032</v>
      </c>
      <c r="AO68" s="99">
        <v>10.518599999999999</v>
      </c>
      <c r="AP68" s="99">
        <v>2.5169999999999999</v>
      </c>
      <c r="AQ68" s="99">
        <v>117</v>
      </c>
      <c r="AS68" s="64">
        <v>67</v>
      </c>
      <c r="AT68" s="99">
        <v>4.9847900000000003</v>
      </c>
      <c r="AU68" s="99">
        <v>10.518599999999999</v>
      </c>
      <c r="AV68" s="99">
        <v>2.5169999999999999</v>
      </c>
      <c r="AW68" s="99">
        <v>117</v>
      </c>
      <c r="BK68" s="64">
        <v>67</v>
      </c>
      <c r="BL68" s="99">
        <v>0.39700000000000002</v>
      </c>
      <c r="BM68" s="100">
        <v>-0.50139999999999996</v>
      </c>
      <c r="BN68" s="99">
        <v>0.20069999999999999</v>
      </c>
      <c r="BO68" s="99">
        <v>133</v>
      </c>
      <c r="BQ68" s="64">
        <v>67</v>
      </c>
      <c r="BR68" s="99">
        <v>0.20884</v>
      </c>
      <c r="BS68" s="100">
        <v>-0.50139999999999996</v>
      </c>
      <c r="BT68" s="99">
        <v>0.20069999999999999</v>
      </c>
      <c r="BU68" s="99">
        <v>133</v>
      </c>
      <c r="CJ68" s="64">
        <v>67</v>
      </c>
      <c r="CK68" s="99">
        <v>131.01599999999999</v>
      </c>
      <c r="CL68" s="99">
        <v>525.92999999999995</v>
      </c>
      <c r="CM68" s="99">
        <v>125.85</v>
      </c>
      <c r="CN68" s="99">
        <v>117</v>
      </c>
      <c r="CP68" s="64">
        <v>67</v>
      </c>
      <c r="CQ68" s="99">
        <v>249.239</v>
      </c>
      <c r="CR68" s="99">
        <v>525.92999999999995</v>
      </c>
      <c r="CS68" s="99">
        <v>125.85</v>
      </c>
      <c r="CT68" s="99">
        <v>117</v>
      </c>
    </row>
    <row r="69" spans="1:98" x14ac:dyDescent="0.25">
      <c r="A69" s="1">
        <v>5</v>
      </c>
      <c r="B69" s="1">
        <v>4</v>
      </c>
      <c r="C69">
        <v>15</v>
      </c>
      <c r="D69">
        <v>5</v>
      </c>
      <c r="E69" s="61">
        <v>4926.8530805687205</v>
      </c>
      <c r="F69" s="61">
        <v>98.537061611374412</v>
      </c>
      <c r="G69">
        <v>58</v>
      </c>
      <c r="H69" s="99">
        <v>595.178586</v>
      </c>
      <c r="V69" s="64">
        <v>68</v>
      </c>
      <c r="W69" s="99">
        <v>4217.9773480000003</v>
      </c>
      <c r="X69" s="99">
        <v>3992.7742039999998</v>
      </c>
      <c r="Y69" s="99">
        <v>225.20314400000001</v>
      </c>
      <c r="AM69" s="64">
        <v>68</v>
      </c>
      <c r="AN69" s="99">
        <v>2.6204900000000002</v>
      </c>
      <c r="AO69" s="100">
        <v>-4.056</v>
      </c>
      <c r="AP69" s="99">
        <v>2.5171999999999999</v>
      </c>
      <c r="AQ69" s="99">
        <v>117</v>
      </c>
      <c r="AS69" s="64">
        <v>68</v>
      </c>
      <c r="AT69" s="99">
        <v>4.9851299999999998</v>
      </c>
      <c r="AU69" s="100">
        <v>-4.056</v>
      </c>
      <c r="AV69" s="99">
        <v>2.5171999999999999</v>
      </c>
      <c r="AW69" s="99">
        <v>117</v>
      </c>
      <c r="BK69" s="64">
        <v>68</v>
      </c>
      <c r="BL69" s="99">
        <v>0.39955000000000002</v>
      </c>
      <c r="BM69" s="100">
        <v>-0.54039999999999999</v>
      </c>
      <c r="BN69" s="99">
        <v>0.20200000000000001</v>
      </c>
      <c r="BO69" s="99">
        <v>133</v>
      </c>
      <c r="BQ69" s="64">
        <v>68</v>
      </c>
      <c r="BR69" s="99">
        <v>0.21018000000000001</v>
      </c>
      <c r="BS69" s="100">
        <v>-0.54039999999999999</v>
      </c>
      <c r="BT69" s="99">
        <v>0.20200000000000001</v>
      </c>
      <c r="BU69" s="99">
        <v>133</v>
      </c>
      <c r="CJ69" s="64">
        <v>68</v>
      </c>
      <c r="CK69" s="99">
        <v>131.02500000000001</v>
      </c>
      <c r="CL69" s="100">
        <v>-202.8</v>
      </c>
      <c r="CM69" s="99">
        <v>125.86</v>
      </c>
      <c r="CN69" s="99">
        <v>117</v>
      </c>
      <c r="CP69" s="64">
        <v>68</v>
      </c>
      <c r="CQ69" s="99">
        <v>249.256</v>
      </c>
      <c r="CR69" s="100">
        <v>-202.8</v>
      </c>
      <c r="CS69" s="99">
        <v>125.86</v>
      </c>
      <c r="CT69" s="99">
        <v>117</v>
      </c>
    </row>
    <row r="70" spans="1:98" x14ac:dyDescent="0.25">
      <c r="A70" s="1">
        <v>6</v>
      </c>
      <c r="B70" s="1">
        <v>1</v>
      </c>
      <c r="C70">
        <v>2</v>
      </c>
      <c r="D70">
        <v>5</v>
      </c>
      <c r="E70" s="61">
        <v>4701.4224435697643</v>
      </c>
      <c r="F70" s="61">
        <v>94.028448871395284</v>
      </c>
      <c r="G70">
        <v>58.4</v>
      </c>
      <c r="H70" s="99">
        <v>239.57948400000001</v>
      </c>
      <c r="V70" s="64">
        <v>69</v>
      </c>
      <c r="W70" s="99">
        <v>4392.5494420000005</v>
      </c>
      <c r="X70" s="99">
        <v>3969.7592089999998</v>
      </c>
      <c r="Y70" s="99">
        <v>422.790233</v>
      </c>
      <c r="AM70" s="64">
        <v>69</v>
      </c>
      <c r="AN70" s="99">
        <v>2.6486200000000002</v>
      </c>
      <c r="AO70" s="100">
        <v>-2.6536</v>
      </c>
      <c r="AP70" s="99">
        <v>2.5442</v>
      </c>
      <c r="AQ70" s="99">
        <v>117</v>
      </c>
      <c r="AS70" s="64">
        <v>69</v>
      </c>
      <c r="AT70" s="99">
        <v>5.03864</v>
      </c>
      <c r="AU70" s="100">
        <v>-2.6536</v>
      </c>
      <c r="AV70" s="99">
        <v>2.5442</v>
      </c>
      <c r="AW70" s="99">
        <v>117</v>
      </c>
      <c r="BK70" s="64">
        <v>69</v>
      </c>
      <c r="BL70" s="99">
        <v>0.40977999999999998</v>
      </c>
      <c r="BM70" s="100">
        <v>-0.69920000000000004</v>
      </c>
      <c r="BN70" s="99">
        <v>0.2072</v>
      </c>
      <c r="BO70" s="99">
        <v>133</v>
      </c>
      <c r="BQ70" s="64">
        <v>69</v>
      </c>
      <c r="BR70" s="99">
        <v>0.21556</v>
      </c>
      <c r="BS70" s="100">
        <v>-0.69920000000000004</v>
      </c>
      <c r="BT70" s="99">
        <v>0.2072</v>
      </c>
      <c r="BU70" s="99">
        <v>133</v>
      </c>
      <c r="CJ70" s="64">
        <v>69</v>
      </c>
      <c r="CK70" s="99">
        <v>132.43100000000001</v>
      </c>
      <c r="CL70" s="100">
        <v>-132.68</v>
      </c>
      <c r="CM70" s="99">
        <v>127.21</v>
      </c>
      <c r="CN70" s="99">
        <v>117</v>
      </c>
      <c r="CP70" s="64">
        <v>69</v>
      </c>
      <c r="CQ70" s="99">
        <v>251.93199999999999</v>
      </c>
      <c r="CR70" s="100">
        <v>-132.68</v>
      </c>
      <c r="CS70" s="99">
        <v>127.21</v>
      </c>
      <c r="CT70" s="99">
        <v>117</v>
      </c>
    </row>
    <row r="71" spans="1:98" x14ac:dyDescent="0.25">
      <c r="A71" s="1">
        <v>6</v>
      </c>
      <c r="B71" s="1">
        <v>2</v>
      </c>
      <c r="C71">
        <v>8</v>
      </c>
      <c r="D71">
        <v>5</v>
      </c>
      <c r="E71" s="61">
        <v>4489.831713390633</v>
      </c>
      <c r="F71" s="61">
        <v>89.796634267812664</v>
      </c>
      <c r="G71">
        <v>57.8</v>
      </c>
      <c r="H71" s="99">
        <v>40.574517999999998</v>
      </c>
      <c r="V71" s="64">
        <v>70</v>
      </c>
      <c r="W71" s="99">
        <v>4575.3072540000003</v>
      </c>
      <c r="X71" s="99">
        <v>3864.3305839999998</v>
      </c>
      <c r="Y71" s="99">
        <v>710.97667000000001</v>
      </c>
      <c r="AM71" s="64">
        <v>70</v>
      </c>
      <c r="AN71" s="99">
        <v>2.5560100000000001</v>
      </c>
      <c r="AO71" s="99">
        <v>12.593400000000001</v>
      </c>
      <c r="AP71" s="99">
        <v>2.4552</v>
      </c>
      <c r="AQ71" s="99">
        <v>117</v>
      </c>
      <c r="AS71" s="64">
        <v>70</v>
      </c>
      <c r="AT71" s="99">
        <v>4.8624400000000003</v>
      </c>
      <c r="AU71" s="99">
        <v>12.593400000000001</v>
      </c>
      <c r="AV71" s="99">
        <v>2.4552</v>
      </c>
      <c r="AW71" s="99">
        <v>117</v>
      </c>
      <c r="BK71" s="64">
        <v>70</v>
      </c>
      <c r="BL71" s="99">
        <v>0.40554000000000001</v>
      </c>
      <c r="BM71" s="100">
        <v>-0.51429999999999998</v>
      </c>
      <c r="BN71" s="99">
        <v>0.20499999999999999</v>
      </c>
      <c r="BO71" s="99">
        <v>133</v>
      </c>
      <c r="BQ71" s="64">
        <v>70</v>
      </c>
      <c r="BR71" s="99">
        <v>0.21332999999999999</v>
      </c>
      <c r="BS71" s="100">
        <v>-0.51429999999999998</v>
      </c>
      <c r="BT71" s="99">
        <v>0.20499999999999999</v>
      </c>
      <c r="BU71" s="99">
        <v>133</v>
      </c>
      <c r="CJ71" s="64">
        <v>70</v>
      </c>
      <c r="CK71" s="99">
        <v>127.8</v>
      </c>
      <c r="CL71" s="99">
        <v>629.66999999999996</v>
      </c>
      <c r="CM71" s="99">
        <v>122.76</v>
      </c>
      <c r="CN71" s="99">
        <v>117</v>
      </c>
      <c r="CP71" s="64">
        <v>70</v>
      </c>
      <c r="CQ71" s="99">
        <v>243.12200000000001</v>
      </c>
      <c r="CR71" s="99">
        <v>629.66999999999996</v>
      </c>
      <c r="CS71" s="99">
        <v>122.76</v>
      </c>
      <c r="CT71" s="99">
        <v>117</v>
      </c>
    </row>
    <row r="72" spans="1:98" x14ac:dyDescent="0.25">
      <c r="A72" s="1">
        <v>8</v>
      </c>
      <c r="B72" s="1">
        <v>4</v>
      </c>
      <c r="C72">
        <v>16</v>
      </c>
      <c r="D72">
        <v>5</v>
      </c>
      <c r="E72" s="61">
        <v>4385.0423327174876</v>
      </c>
      <c r="F72" s="61">
        <v>87.700846654349746</v>
      </c>
      <c r="G72">
        <v>58.1</v>
      </c>
      <c r="H72" s="99">
        <v>489.24007699999999</v>
      </c>
      <c r="V72" s="64">
        <v>71</v>
      </c>
      <c r="W72" s="99">
        <v>4036.9425660000002</v>
      </c>
      <c r="X72" s="99">
        <v>3989.8978510000002</v>
      </c>
      <c r="Y72" s="99">
        <v>47.044714999999997</v>
      </c>
      <c r="AM72" s="64">
        <v>71</v>
      </c>
      <c r="AN72" s="99">
        <v>2.59259</v>
      </c>
      <c r="AO72" s="99">
        <v>2.9754999999999998</v>
      </c>
      <c r="AP72" s="99">
        <v>2.4904000000000002</v>
      </c>
      <c r="AQ72" s="99">
        <v>117</v>
      </c>
      <c r="AS72" s="64">
        <v>71</v>
      </c>
      <c r="AT72" s="99">
        <v>4.9320300000000001</v>
      </c>
      <c r="AU72" s="99">
        <v>2.9754999999999998</v>
      </c>
      <c r="AV72" s="99">
        <v>2.4904000000000002</v>
      </c>
      <c r="AW72" s="99">
        <v>117</v>
      </c>
      <c r="BK72" s="64">
        <v>71</v>
      </c>
      <c r="BL72" s="99">
        <v>0.40551999999999999</v>
      </c>
      <c r="BM72" s="99">
        <v>0.1124</v>
      </c>
      <c r="BN72" s="99">
        <v>0.20499999999999999</v>
      </c>
      <c r="BO72" s="99">
        <v>133</v>
      </c>
      <c r="BQ72" s="64">
        <v>71</v>
      </c>
      <c r="BR72" s="99">
        <v>0.21332000000000001</v>
      </c>
      <c r="BS72" s="99">
        <v>0.1124</v>
      </c>
      <c r="BT72" s="99">
        <v>0.20499999999999999</v>
      </c>
      <c r="BU72" s="99">
        <v>133</v>
      </c>
      <c r="CJ72" s="64">
        <v>71</v>
      </c>
      <c r="CK72" s="99">
        <v>129.62899999999999</v>
      </c>
      <c r="CL72" s="99">
        <v>148.77000000000001</v>
      </c>
      <c r="CM72" s="99">
        <v>124.52</v>
      </c>
      <c r="CN72" s="99">
        <v>117</v>
      </c>
      <c r="CP72" s="64">
        <v>71</v>
      </c>
      <c r="CQ72" s="99">
        <v>246.602</v>
      </c>
      <c r="CR72" s="99">
        <v>148.77000000000001</v>
      </c>
      <c r="CS72" s="99">
        <v>124.52</v>
      </c>
      <c r="CT72" s="99">
        <v>117</v>
      </c>
    </row>
    <row r="73" spans="1:98" x14ac:dyDescent="0.25">
      <c r="A73" s="1">
        <v>9</v>
      </c>
      <c r="B73" s="1">
        <v>1</v>
      </c>
      <c r="C73">
        <v>3</v>
      </c>
      <c r="D73">
        <v>5</v>
      </c>
      <c r="E73" s="61">
        <v>3778.1673226765201</v>
      </c>
      <c r="F73" s="61">
        <v>75.5633464535304</v>
      </c>
      <c r="G73">
        <v>57.3</v>
      </c>
      <c r="H73" s="100">
        <v>-227.19264699999999</v>
      </c>
      <c r="V73" s="64">
        <v>72</v>
      </c>
      <c r="W73" s="99">
        <v>2556.8598280000001</v>
      </c>
      <c r="X73" s="99">
        <v>3550.6515209999998</v>
      </c>
      <c r="Y73" s="100">
        <v>-993.79169300000001</v>
      </c>
      <c r="AM73" s="64">
        <v>72</v>
      </c>
      <c r="AN73" s="99">
        <v>2.68573</v>
      </c>
      <c r="AO73" s="99">
        <v>1.202</v>
      </c>
      <c r="AP73" s="99">
        <v>2.5798000000000001</v>
      </c>
      <c r="AQ73" s="99">
        <v>117</v>
      </c>
      <c r="AS73" s="64">
        <v>72</v>
      </c>
      <c r="AT73" s="99">
        <v>5.1092300000000002</v>
      </c>
      <c r="AU73" s="99">
        <v>1.202</v>
      </c>
      <c r="AV73" s="99">
        <v>2.5798000000000001</v>
      </c>
      <c r="AW73" s="99">
        <v>117</v>
      </c>
      <c r="BK73" s="64">
        <v>72</v>
      </c>
      <c r="BL73" s="99">
        <v>0.4073</v>
      </c>
      <c r="BM73" s="99">
        <v>0.85909999999999997</v>
      </c>
      <c r="BN73" s="99">
        <v>0.2059</v>
      </c>
      <c r="BO73" s="99">
        <v>133</v>
      </c>
      <c r="BQ73" s="64">
        <v>72</v>
      </c>
      <c r="BR73" s="99">
        <v>0.21426000000000001</v>
      </c>
      <c r="BS73" s="99">
        <v>0.85909999999999997</v>
      </c>
      <c r="BT73" s="99">
        <v>0.2059</v>
      </c>
      <c r="BU73" s="99">
        <v>133</v>
      </c>
      <c r="CJ73" s="64">
        <v>72</v>
      </c>
      <c r="CK73" s="99">
        <v>134.28700000000001</v>
      </c>
      <c r="CL73" s="99">
        <v>60.1021</v>
      </c>
      <c r="CM73" s="99">
        <v>128.99</v>
      </c>
      <c r="CN73" s="99">
        <v>117</v>
      </c>
      <c r="CP73" s="64">
        <v>72</v>
      </c>
      <c r="CQ73" s="99">
        <v>255.46100000000001</v>
      </c>
      <c r="CR73" s="99">
        <v>60.1021</v>
      </c>
      <c r="CS73" s="99">
        <v>128.99</v>
      </c>
      <c r="CT73" s="99">
        <v>117</v>
      </c>
    </row>
    <row r="74" spans="1:98" x14ac:dyDescent="0.25">
      <c r="A74" s="1">
        <v>12</v>
      </c>
      <c r="B74" s="1">
        <v>4</v>
      </c>
      <c r="C74">
        <v>13</v>
      </c>
      <c r="D74">
        <v>5</v>
      </c>
      <c r="E74" s="61">
        <v>4284.3802715077518</v>
      </c>
      <c r="F74" s="61">
        <v>85.687605430155031</v>
      </c>
      <c r="G74">
        <v>57.2</v>
      </c>
      <c r="H74" s="99">
        <v>597.97851000000003</v>
      </c>
      <c r="V74" s="64">
        <v>73</v>
      </c>
      <c r="W74" s="99">
        <v>5266.5073499999999</v>
      </c>
      <c r="X74" s="99">
        <v>4785.4021419999999</v>
      </c>
      <c r="Y74" s="99">
        <v>481.105208</v>
      </c>
      <c r="AM74" s="64">
        <v>73</v>
      </c>
      <c r="AN74" s="99">
        <v>2.6006499999999999</v>
      </c>
      <c r="AO74" s="99">
        <v>4.2720000000000002</v>
      </c>
      <c r="AP74" s="99">
        <v>2.4981</v>
      </c>
      <c r="AQ74" s="99">
        <v>117</v>
      </c>
      <c r="AS74" s="64">
        <v>73</v>
      </c>
      <c r="AT74" s="99">
        <v>4.9473700000000003</v>
      </c>
      <c r="AU74" s="99">
        <v>4.2720000000000002</v>
      </c>
      <c r="AV74" s="99">
        <v>2.4981</v>
      </c>
      <c r="AW74" s="99">
        <v>117</v>
      </c>
      <c r="BK74" s="64">
        <v>73</v>
      </c>
      <c r="BL74" s="99">
        <v>0.39559</v>
      </c>
      <c r="BM74" s="99">
        <v>0.14480000000000001</v>
      </c>
      <c r="BN74" s="99">
        <v>0.2</v>
      </c>
      <c r="BO74" s="99">
        <v>133</v>
      </c>
      <c r="BQ74" s="64">
        <v>73</v>
      </c>
      <c r="BR74" s="99">
        <v>0.20810000000000001</v>
      </c>
      <c r="BS74" s="99">
        <v>0.14480000000000001</v>
      </c>
      <c r="BT74" s="99">
        <v>0.2</v>
      </c>
      <c r="BU74" s="99">
        <v>133</v>
      </c>
      <c r="CJ74" s="64">
        <v>73</v>
      </c>
      <c r="CK74" s="99">
        <v>130.03200000000001</v>
      </c>
      <c r="CL74" s="99">
        <v>213.6</v>
      </c>
      <c r="CM74" s="99">
        <v>124.91</v>
      </c>
      <c r="CN74" s="99">
        <v>117</v>
      </c>
      <c r="CP74" s="64">
        <v>73</v>
      </c>
      <c r="CQ74" s="99">
        <v>247.369</v>
      </c>
      <c r="CR74" s="99">
        <v>213.6</v>
      </c>
      <c r="CS74" s="99">
        <v>124.91</v>
      </c>
      <c r="CT74" s="99">
        <v>117</v>
      </c>
    </row>
    <row r="75" spans="1:98" x14ac:dyDescent="0.25">
      <c r="A75" s="1">
        <v>13</v>
      </c>
      <c r="B75" s="1">
        <v>2</v>
      </c>
      <c r="C75">
        <v>7</v>
      </c>
      <c r="D75">
        <v>5</v>
      </c>
      <c r="E75" s="61">
        <v>4249.7765282351993</v>
      </c>
      <c r="F75" s="61">
        <v>84.995530564703984</v>
      </c>
      <c r="G75">
        <v>57.2</v>
      </c>
      <c r="H75" s="99">
        <v>408.934799</v>
      </c>
      <c r="V75" s="64">
        <v>74</v>
      </c>
      <c r="W75" s="99">
        <v>5283.2313439999998</v>
      </c>
      <c r="X75" s="99">
        <v>4716.4998500000002</v>
      </c>
      <c r="Y75" s="99">
        <v>566.731494</v>
      </c>
      <c r="AM75" s="64">
        <v>74</v>
      </c>
      <c r="AN75" s="99">
        <v>2.7166100000000002</v>
      </c>
      <c r="AO75" s="99">
        <v>11.5886</v>
      </c>
      <c r="AP75" s="99">
        <v>2.6095000000000002</v>
      </c>
      <c r="AQ75" s="99">
        <v>117</v>
      </c>
      <c r="AS75" s="64">
        <v>74</v>
      </c>
      <c r="AT75" s="99">
        <v>5.1679700000000004</v>
      </c>
      <c r="AU75" s="99">
        <v>11.5886</v>
      </c>
      <c r="AV75" s="99">
        <v>2.6095000000000002</v>
      </c>
      <c r="AW75" s="99">
        <v>117</v>
      </c>
      <c r="BK75" s="64">
        <v>74</v>
      </c>
      <c r="BL75" s="99">
        <v>0.41337000000000002</v>
      </c>
      <c r="BM75" s="99">
        <v>1.095</v>
      </c>
      <c r="BN75" s="99">
        <v>0.20899999999999999</v>
      </c>
      <c r="BO75" s="99">
        <v>133</v>
      </c>
      <c r="BQ75" s="64">
        <v>74</v>
      </c>
      <c r="BR75" s="99">
        <v>0.21745</v>
      </c>
      <c r="BS75" s="99">
        <v>1.095</v>
      </c>
      <c r="BT75" s="99">
        <v>0.20899999999999999</v>
      </c>
      <c r="BU75" s="99">
        <v>133</v>
      </c>
      <c r="CJ75" s="64">
        <v>74</v>
      </c>
      <c r="CK75" s="99">
        <v>135.83099999999999</v>
      </c>
      <c r="CL75" s="99">
        <v>579.42999999999995</v>
      </c>
      <c r="CM75" s="99">
        <v>130.47</v>
      </c>
      <c r="CN75" s="99">
        <v>117</v>
      </c>
      <c r="CP75" s="64">
        <v>74</v>
      </c>
      <c r="CQ75" s="99">
        <v>258.399</v>
      </c>
      <c r="CR75" s="99">
        <v>579.42999999999995</v>
      </c>
      <c r="CS75" s="99">
        <v>130.47</v>
      </c>
      <c r="CT75" s="99">
        <v>117</v>
      </c>
    </row>
    <row r="76" spans="1:98" x14ac:dyDescent="0.25">
      <c r="A76" s="1">
        <v>15</v>
      </c>
      <c r="B76" s="1">
        <v>4</v>
      </c>
      <c r="C76">
        <v>14</v>
      </c>
      <c r="D76">
        <v>5</v>
      </c>
      <c r="E76" s="61">
        <v>4645.9461804160974</v>
      </c>
      <c r="F76" s="61">
        <v>92.918923608321947</v>
      </c>
      <c r="G76">
        <v>58.7</v>
      </c>
      <c r="H76" s="99">
        <v>119.404949</v>
      </c>
      <c r="V76" s="64">
        <v>75</v>
      </c>
      <c r="W76" s="99">
        <v>5035.329745</v>
      </c>
      <c r="X76" s="99">
        <v>4772.8163759999998</v>
      </c>
      <c r="Y76" s="99">
        <v>262.51336900000001</v>
      </c>
      <c r="AM76" s="64">
        <v>75</v>
      </c>
      <c r="AN76" s="99">
        <v>2.5624400000000001</v>
      </c>
      <c r="AO76" s="100">
        <v>-6.8978000000000002</v>
      </c>
      <c r="AP76" s="99">
        <v>2.4613999999999998</v>
      </c>
      <c r="AQ76" s="99">
        <v>117</v>
      </c>
      <c r="AS76" s="64">
        <v>75</v>
      </c>
      <c r="AT76" s="99">
        <v>4.8746900000000002</v>
      </c>
      <c r="AU76" s="100">
        <v>-6.8978000000000002</v>
      </c>
      <c r="AV76" s="99">
        <v>2.4613999999999998</v>
      </c>
      <c r="AW76" s="99">
        <v>117</v>
      </c>
      <c r="BK76" s="64">
        <v>75</v>
      </c>
      <c r="BL76" s="99">
        <v>0.39332</v>
      </c>
      <c r="BM76" s="99">
        <v>1.929</v>
      </c>
      <c r="BN76" s="99">
        <v>0.19889999999999999</v>
      </c>
      <c r="BO76" s="99">
        <v>133</v>
      </c>
      <c r="BQ76" s="64">
        <v>75</v>
      </c>
      <c r="BR76" s="99">
        <v>0.2069</v>
      </c>
      <c r="BS76" s="99">
        <v>1.929</v>
      </c>
      <c r="BT76" s="99">
        <v>0.19889999999999999</v>
      </c>
      <c r="BU76" s="99">
        <v>133</v>
      </c>
      <c r="CJ76" s="64">
        <v>75</v>
      </c>
      <c r="CK76" s="99">
        <v>128.12200000000001</v>
      </c>
      <c r="CL76" s="100">
        <v>-344.89</v>
      </c>
      <c r="CM76" s="99">
        <v>123.07</v>
      </c>
      <c r="CN76" s="99">
        <v>117</v>
      </c>
      <c r="CP76" s="64">
        <v>75</v>
      </c>
      <c r="CQ76" s="99">
        <v>243.73400000000001</v>
      </c>
      <c r="CR76" s="100">
        <v>-344.89</v>
      </c>
      <c r="CS76" s="99">
        <v>123.07</v>
      </c>
      <c r="CT76" s="99">
        <v>117</v>
      </c>
    </row>
    <row r="77" spans="1:98" x14ac:dyDescent="0.25">
      <c r="A77" s="1">
        <v>16</v>
      </c>
      <c r="B77" s="1">
        <v>3</v>
      </c>
      <c r="C77">
        <v>11</v>
      </c>
      <c r="D77">
        <v>5</v>
      </c>
      <c r="E77" s="61">
        <v>4557.8383805928188</v>
      </c>
      <c r="F77" s="61">
        <v>91.156767611856381</v>
      </c>
      <c r="G77">
        <v>58.7</v>
      </c>
      <c r="H77" s="99">
        <v>232.20297299999999</v>
      </c>
      <c r="V77" s="64">
        <v>76</v>
      </c>
      <c r="W77" s="99">
        <v>4730.7219050000003</v>
      </c>
      <c r="X77" s="99">
        <v>4755.3572249999997</v>
      </c>
      <c r="Y77" s="100">
        <v>-24.63532</v>
      </c>
      <c r="AM77" s="64">
        <v>76</v>
      </c>
      <c r="AN77" s="99">
        <v>2.5516700000000001</v>
      </c>
      <c r="AO77" s="99">
        <v>7.6284000000000001</v>
      </c>
      <c r="AP77" s="99">
        <v>2.4510999999999998</v>
      </c>
      <c r="AQ77" s="99">
        <v>117</v>
      </c>
      <c r="AS77" s="64">
        <v>76</v>
      </c>
      <c r="AT77" s="99">
        <v>4.8541999999999996</v>
      </c>
      <c r="AU77" s="99">
        <v>7.6284000000000001</v>
      </c>
      <c r="AV77" s="99">
        <v>2.4510999999999998</v>
      </c>
      <c r="AW77" s="99">
        <v>117</v>
      </c>
      <c r="BK77" s="64">
        <v>76</v>
      </c>
      <c r="BL77" s="99">
        <v>0.39724999999999999</v>
      </c>
      <c r="BM77" s="99">
        <v>0.50849999999999995</v>
      </c>
      <c r="BN77" s="99">
        <v>0.20080000000000001</v>
      </c>
      <c r="BO77" s="99">
        <v>133</v>
      </c>
      <c r="BQ77" s="64">
        <v>76</v>
      </c>
      <c r="BR77" s="99">
        <v>0.20896999999999999</v>
      </c>
      <c r="BS77" s="99">
        <v>0.50849999999999995</v>
      </c>
      <c r="BT77" s="99">
        <v>0.20080000000000001</v>
      </c>
      <c r="BU77" s="99">
        <v>133</v>
      </c>
      <c r="CJ77" s="64">
        <v>76</v>
      </c>
      <c r="CK77" s="99">
        <v>127.584</v>
      </c>
      <c r="CL77" s="99">
        <v>381.42</v>
      </c>
      <c r="CM77" s="99">
        <v>122.55</v>
      </c>
      <c r="CN77" s="99">
        <v>117</v>
      </c>
      <c r="CP77" s="64">
        <v>76</v>
      </c>
      <c r="CQ77" s="99">
        <v>242.71</v>
      </c>
      <c r="CR77" s="99">
        <v>381.42</v>
      </c>
      <c r="CS77" s="99">
        <v>122.55</v>
      </c>
      <c r="CT77" s="99">
        <v>117</v>
      </c>
    </row>
    <row r="78" spans="1:98" x14ac:dyDescent="0.25">
      <c r="A78" s="1">
        <v>17</v>
      </c>
      <c r="B78" s="1">
        <v>2</v>
      </c>
      <c r="C78">
        <v>6</v>
      </c>
      <c r="D78">
        <v>5</v>
      </c>
      <c r="E78" s="61">
        <v>4381.0449032050756</v>
      </c>
      <c r="F78" s="61">
        <v>87.62089806410151</v>
      </c>
      <c r="G78">
        <v>58.3</v>
      </c>
      <c r="H78" s="99">
        <v>128.189267</v>
      </c>
      <c r="V78" s="64">
        <v>77</v>
      </c>
      <c r="W78" s="99">
        <v>5255.8908350000002</v>
      </c>
      <c r="X78" s="99">
        <v>4749.8013810000002</v>
      </c>
      <c r="Y78" s="99">
        <v>506.08945399999999</v>
      </c>
      <c r="AM78" s="64">
        <v>77</v>
      </c>
      <c r="AN78" s="99">
        <v>2.6055100000000002</v>
      </c>
      <c r="AO78" s="99">
        <v>9.2027000000000001</v>
      </c>
      <c r="AP78" s="99">
        <v>2.5028000000000001</v>
      </c>
      <c r="AQ78" s="99">
        <v>117</v>
      </c>
      <c r="AS78" s="64">
        <v>77</v>
      </c>
      <c r="AT78" s="99">
        <v>4.9566100000000004</v>
      </c>
      <c r="AU78" s="99">
        <v>9.2027000000000001</v>
      </c>
      <c r="AV78" s="99">
        <v>2.5028000000000001</v>
      </c>
      <c r="AW78" s="99">
        <v>117</v>
      </c>
      <c r="BK78" s="64">
        <v>77</v>
      </c>
      <c r="BL78" s="99">
        <v>0.39673000000000003</v>
      </c>
      <c r="BM78" s="99">
        <v>0.8931</v>
      </c>
      <c r="BN78" s="99">
        <v>0.2006</v>
      </c>
      <c r="BO78" s="99">
        <v>133</v>
      </c>
      <c r="BQ78" s="64">
        <v>77</v>
      </c>
      <c r="BR78" s="99">
        <v>0.20868999999999999</v>
      </c>
      <c r="BS78" s="99">
        <v>0.8931</v>
      </c>
      <c r="BT78" s="99">
        <v>0.2006</v>
      </c>
      <c r="BU78" s="99">
        <v>133</v>
      </c>
      <c r="CJ78" s="64">
        <v>77</v>
      </c>
      <c r="CK78" s="99">
        <v>130.27500000000001</v>
      </c>
      <c r="CL78" s="99">
        <v>460.13</v>
      </c>
      <c r="CM78" s="99">
        <v>125.14</v>
      </c>
      <c r="CN78" s="99">
        <v>117</v>
      </c>
      <c r="CP78" s="64">
        <v>77</v>
      </c>
      <c r="CQ78" s="99">
        <v>247.83099999999999</v>
      </c>
      <c r="CR78" s="99">
        <v>460.13</v>
      </c>
      <c r="CS78" s="99">
        <v>125.14</v>
      </c>
      <c r="CT78" s="99">
        <v>117</v>
      </c>
    </row>
    <row r="79" spans="1:98" x14ac:dyDescent="0.25">
      <c r="A79" s="1">
        <v>18</v>
      </c>
      <c r="B79" s="1">
        <v>2</v>
      </c>
      <c r="C79">
        <v>5</v>
      </c>
      <c r="D79">
        <v>5</v>
      </c>
      <c r="E79" s="61">
        <v>5330.3416338661737</v>
      </c>
      <c r="F79" s="61">
        <v>106.60683267732347</v>
      </c>
      <c r="G79">
        <v>58.5</v>
      </c>
      <c r="H79" s="99">
        <v>372.24155000000002</v>
      </c>
      <c r="V79" s="64">
        <v>78</v>
      </c>
      <c r="W79" s="99">
        <v>4459.0690020000002</v>
      </c>
      <c r="X79" s="99">
        <v>4644.3727559999998</v>
      </c>
      <c r="Y79" s="100">
        <v>-185.303754</v>
      </c>
      <c r="AM79" s="64">
        <v>78</v>
      </c>
      <c r="AN79" s="99">
        <v>2.6715300000000002</v>
      </c>
      <c r="AO79" s="99">
        <v>14.79</v>
      </c>
      <c r="AP79" s="99">
        <v>2.5661999999999998</v>
      </c>
      <c r="AQ79" s="99">
        <v>117</v>
      </c>
      <c r="AS79" s="64">
        <v>78</v>
      </c>
      <c r="AT79" s="99">
        <v>5.0822200000000004</v>
      </c>
      <c r="AU79" s="99">
        <v>14.79</v>
      </c>
      <c r="AV79" s="99">
        <v>2.5661999999999998</v>
      </c>
      <c r="AW79" s="99">
        <v>117</v>
      </c>
      <c r="BK79" s="64">
        <v>78</v>
      </c>
      <c r="BL79" s="99">
        <v>0.40562999999999999</v>
      </c>
      <c r="BM79" s="99">
        <v>0.88519999999999999</v>
      </c>
      <c r="BN79" s="99">
        <v>0.2051</v>
      </c>
      <c r="BO79" s="99">
        <v>133</v>
      </c>
      <c r="BQ79" s="64">
        <v>78</v>
      </c>
      <c r="BR79" s="99">
        <v>0.21337999999999999</v>
      </c>
      <c r="BS79" s="99">
        <v>0.88519999999999999</v>
      </c>
      <c r="BT79" s="99">
        <v>0.2051</v>
      </c>
      <c r="BU79" s="99">
        <v>133</v>
      </c>
      <c r="CJ79" s="64">
        <v>78</v>
      </c>
      <c r="CK79" s="99">
        <v>133.577</v>
      </c>
      <c r="CL79" s="99">
        <v>739.5</v>
      </c>
      <c r="CM79" s="99">
        <v>128.31</v>
      </c>
      <c r="CN79" s="99">
        <v>117</v>
      </c>
      <c r="CP79" s="64">
        <v>78</v>
      </c>
      <c r="CQ79" s="99">
        <v>254.11099999999999</v>
      </c>
      <c r="CR79" s="99">
        <v>739.5</v>
      </c>
      <c r="CS79" s="99">
        <v>128.31</v>
      </c>
      <c r="CT79" s="99">
        <v>117</v>
      </c>
    </row>
    <row r="80" spans="1:98" x14ac:dyDescent="0.25">
      <c r="A80" s="1">
        <v>19</v>
      </c>
      <c r="B80" s="1">
        <v>1</v>
      </c>
      <c r="C80">
        <v>1</v>
      </c>
      <c r="D80">
        <v>5</v>
      </c>
      <c r="E80" s="61">
        <v>4873.7413446863193</v>
      </c>
      <c r="F80" s="61">
        <v>97.474826893726387</v>
      </c>
      <c r="G80">
        <v>58</v>
      </c>
      <c r="H80" s="99">
        <v>108.319061</v>
      </c>
      <c r="V80" s="64">
        <v>79</v>
      </c>
      <c r="W80" s="99">
        <v>4879.5651859999998</v>
      </c>
      <c r="X80" s="99">
        <v>4769.9400219999998</v>
      </c>
      <c r="Y80" s="99">
        <v>109.625164</v>
      </c>
      <c r="AM80" s="64">
        <v>79</v>
      </c>
      <c r="AN80" s="99">
        <v>2.6764000000000001</v>
      </c>
      <c r="AO80" s="99">
        <v>10.9293</v>
      </c>
      <c r="AP80" s="99">
        <v>2.5709</v>
      </c>
      <c r="AQ80" s="99">
        <v>117</v>
      </c>
      <c r="AS80" s="64">
        <v>79</v>
      </c>
      <c r="AT80" s="99">
        <v>5.0914799999999998</v>
      </c>
      <c r="AU80" s="99">
        <v>10.9293</v>
      </c>
      <c r="AV80" s="99">
        <v>2.5709</v>
      </c>
      <c r="AW80" s="99">
        <v>117</v>
      </c>
      <c r="BK80" s="64">
        <v>79</v>
      </c>
      <c r="BL80" s="99">
        <v>0.40078999999999998</v>
      </c>
      <c r="BM80" s="99">
        <v>0.17519999999999999</v>
      </c>
      <c r="BN80" s="99">
        <v>0.2026</v>
      </c>
      <c r="BO80" s="99">
        <v>133</v>
      </c>
      <c r="BQ80" s="64">
        <v>79</v>
      </c>
      <c r="BR80" s="99">
        <v>0.21082999999999999</v>
      </c>
      <c r="BS80" s="99">
        <v>0.17519999999999999</v>
      </c>
      <c r="BT80" s="99">
        <v>0.2026</v>
      </c>
      <c r="BU80" s="99">
        <v>133</v>
      </c>
      <c r="CJ80" s="64">
        <v>79</v>
      </c>
      <c r="CK80" s="99">
        <v>133.82</v>
      </c>
      <c r="CL80" s="99">
        <v>546.47</v>
      </c>
      <c r="CM80" s="99">
        <v>128.54</v>
      </c>
      <c r="CN80" s="99">
        <v>117</v>
      </c>
      <c r="CP80" s="64">
        <v>79</v>
      </c>
      <c r="CQ80" s="99">
        <v>254.57400000000001</v>
      </c>
      <c r="CR80" s="99">
        <v>546.47</v>
      </c>
      <c r="CS80" s="99">
        <v>128.54</v>
      </c>
      <c r="CT80" s="99">
        <v>117</v>
      </c>
    </row>
    <row r="81" spans="1:98" x14ac:dyDescent="0.25">
      <c r="A81" s="1">
        <v>20</v>
      </c>
      <c r="B81" s="1">
        <v>3</v>
      </c>
      <c r="C81">
        <v>10</v>
      </c>
      <c r="D81">
        <v>5</v>
      </c>
      <c r="E81" s="61">
        <v>4472.5881596915424</v>
      </c>
      <c r="F81" s="61">
        <v>89.451763193830843</v>
      </c>
      <c r="G81" s="61">
        <v>58.1</v>
      </c>
      <c r="H81" s="99">
        <v>266.97537499999999</v>
      </c>
      <c r="V81" s="64">
        <v>80</v>
      </c>
      <c r="W81" s="99">
        <v>2614.5680779999998</v>
      </c>
      <c r="X81" s="99">
        <v>4330.6936930000002</v>
      </c>
      <c r="Y81" s="100">
        <v>-1716.1256149999999</v>
      </c>
      <c r="AM81" s="64">
        <v>80</v>
      </c>
      <c r="AN81" s="99">
        <v>2.6089000000000002</v>
      </c>
      <c r="AO81" s="100">
        <v>-3.3285999999999998</v>
      </c>
      <c r="AP81" s="99">
        <v>2.5059999999999998</v>
      </c>
      <c r="AQ81" s="99">
        <v>117</v>
      </c>
      <c r="AS81" s="64">
        <v>80</v>
      </c>
      <c r="AT81" s="99">
        <v>4.9630599999999996</v>
      </c>
      <c r="AU81" s="100">
        <v>-3.3285999999999998</v>
      </c>
      <c r="AV81" s="99">
        <v>2.5059999999999998</v>
      </c>
      <c r="AW81" s="99">
        <v>117</v>
      </c>
      <c r="BK81" s="64">
        <v>80</v>
      </c>
      <c r="BL81" s="99">
        <v>0.39684000000000003</v>
      </c>
      <c r="BM81" s="100">
        <v>-0.12180000000000001</v>
      </c>
      <c r="BN81" s="99">
        <v>0.2006</v>
      </c>
      <c r="BO81" s="99">
        <v>133</v>
      </c>
      <c r="BQ81" s="64">
        <v>80</v>
      </c>
      <c r="BR81" s="99">
        <v>0.20874999999999999</v>
      </c>
      <c r="BS81" s="100">
        <v>-0.12180000000000001</v>
      </c>
      <c r="BT81" s="99">
        <v>0.2006</v>
      </c>
      <c r="BU81" s="99">
        <v>133</v>
      </c>
      <c r="CJ81" s="64">
        <v>80</v>
      </c>
      <c r="CK81" s="99">
        <v>130.44499999999999</v>
      </c>
      <c r="CL81" s="100">
        <v>-166.43</v>
      </c>
      <c r="CM81" s="99">
        <v>125.3</v>
      </c>
      <c r="CN81" s="99">
        <v>117</v>
      </c>
      <c r="CP81" s="64">
        <v>80</v>
      </c>
      <c r="CQ81" s="99">
        <v>248.15299999999999</v>
      </c>
      <c r="CR81" s="100">
        <v>-166.43</v>
      </c>
      <c r="CS81" s="99">
        <v>125.3</v>
      </c>
      <c r="CT81" s="99">
        <v>117</v>
      </c>
    </row>
    <row r="82" spans="1:98" x14ac:dyDescent="0.25">
      <c r="A82" s="1">
        <v>1</v>
      </c>
      <c r="B82" s="1">
        <v>5</v>
      </c>
      <c r="C82">
        <v>1</v>
      </c>
      <c r="D82">
        <v>6</v>
      </c>
      <c r="E82" s="61">
        <v>4685.1994537713872</v>
      </c>
      <c r="F82" s="61">
        <v>93.703989075427742</v>
      </c>
      <c r="G82">
        <v>58.7</v>
      </c>
      <c r="H82" s="100">
        <v>-88.613304999999997</v>
      </c>
      <c r="V82" s="64">
        <v>81</v>
      </c>
      <c r="W82" s="99">
        <v>4313.5551450000003</v>
      </c>
      <c r="X82" s="99">
        <v>4322.1152089999996</v>
      </c>
      <c r="Y82" s="100">
        <v>-8.5600640000000006</v>
      </c>
      <c r="AM82" s="64">
        <v>81</v>
      </c>
      <c r="AN82" s="99">
        <v>2.6985299999999999</v>
      </c>
      <c r="AO82" s="99">
        <v>0.25979999999999998</v>
      </c>
      <c r="AP82" s="99">
        <v>2.5920999999999998</v>
      </c>
      <c r="AQ82" s="99">
        <v>117</v>
      </c>
      <c r="AS82" s="64">
        <v>81</v>
      </c>
      <c r="AT82" s="99">
        <v>5.1335699999999997</v>
      </c>
      <c r="AU82" s="99">
        <v>0.25979999999999998</v>
      </c>
      <c r="AV82" s="99">
        <v>2.5920999999999998</v>
      </c>
      <c r="AW82" s="99">
        <v>117</v>
      </c>
      <c r="BK82" s="64">
        <v>81</v>
      </c>
      <c r="BL82" s="99">
        <v>0.41053000000000001</v>
      </c>
      <c r="BM82" s="99">
        <v>9.3599999999999998E-4</v>
      </c>
      <c r="BN82" s="99">
        <v>0.20760000000000001</v>
      </c>
      <c r="BO82" s="99">
        <v>133</v>
      </c>
      <c r="BQ82" s="64">
        <v>81</v>
      </c>
      <c r="BR82" s="99">
        <v>0.21596000000000001</v>
      </c>
      <c r="BS82" s="99">
        <v>9.3599999999999998E-4</v>
      </c>
      <c r="BT82" s="99">
        <v>0.20760000000000001</v>
      </c>
      <c r="BU82" s="99">
        <v>133</v>
      </c>
      <c r="CJ82" s="64">
        <v>81</v>
      </c>
      <c r="CK82" s="99">
        <v>134.92599999999999</v>
      </c>
      <c r="CL82" s="99">
        <v>12.9915</v>
      </c>
      <c r="CM82" s="99">
        <v>129.61000000000001</v>
      </c>
      <c r="CN82" s="99">
        <v>117</v>
      </c>
      <c r="CP82" s="64">
        <v>81</v>
      </c>
      <c r="CQ82" s="99">
        <v>256.67899999999997</v>
      </c>
      <c r="CR82" s="99">
        <v>12.9915</v>
      </c>
      <c r="CS82" s="99">
        <v>129.61000000000001</v>
      </c>
      <c r="CT82" s="99">
        <v>117</v>
      </c>
    </row>
    <row r="83" spans="1:98" x14ac:dyDescent="0.25">
      <c r="A83" s="1">
        <v>2</v>
      </c>
      <c r="B83" s="1">
        <v>6</v>
      </c>
      <c r="C83">
        <v>5</v>
      </c>
      <c r="D83">
        <v>6</v>
      </c>
      <c r="E83" s="61">
        <v>4566.9863442846818</v>
      </c>
      <c r="F83" s="61">
        <v>91.339726885693636</v>
      </c>
      <c r="G83">
        <v>56.8</v>
      </c>
      <c r="H83" s="99">
        <v>237.213875</v>
      </c>
      <c r="V83" s="64">
        <v>82</v>
      </c>
      <c r="W83" s="99">
        <v>3986.359708</v>
      </c>
      <c r="X83" s="99">
        <v>4322.1152089999996</v>
      </c>
      <c r="Y83" s="100">
        <v>-335.75550099999998</v>
      </c>
      <c r="AM83" s="64">
        <v>82</v>
      </c>
      <c r="AN83" s="99">
        <v>2.5381100000000001</v>
      </c>
      <c r="AO83" s="99">
        <v>6.5227000000000004</v>
      </c>
      <c r="AP83" s="99">
        <v>2.4380000000000002</v>
      </c>
      <c r="AQ83" s="99">
        <v>117</v>
      </c>
      <c r="AS83" s="64">
        <v>82</v>
      </c>
      <c r="AT83" s="99">
        <v>4.8284000000000002</v>
      </c>
      <c r="AU83" s="99">
        <v>6.5227000000000004</v>
      </c>
      <c r="AV83" s="99">
        <v>2.4380000000000002</v>
      </c>
      <c r="AW83" s="99">
        <v>117</v>
      </c>
      <c r="BK83" s="64">
        <v>82</v>
      </c>
      <c r="BL83" s="99">
        <v>0.38978000000000002</v>
      </c>
      <c r="BM83" s="99">
        <v>6.1600000000000002E-2</v>
      </c>
      <c r="BN83" s="99">
        <v>0.1971</v>
      </c>
      <c r="BO83" s="99">
        <v>133</v>
      </c>
      <c r="BQ83" s="64">
        <v>82</v>
      </c>
      <c r="BR83" s="99">
        <v>0.20504</v>
      </c>
      <c r="BS83" s="99">
        <v>6.1600000000000002E-2</v>
      </c>
      <c r="BT83" s="99">
        <v>0.1971</v>
      </c>
      <c r="BU83" s="99">
        <v>133</v>
      </c>
      <c r="CJ83" s="64">
        <v>82</v>
      </c>
      <c r="CK83" s="99">
        <v>126.905</v>
      </c>
      <c r="CL83" s="99">
        <v>326.14</v>
      </c>
      <c r="CM83" s="99">
        <v>121.9</v>
      </c>
      <c r="CN83" s="99">
        <v>117</v>
      </c>
      <c r="CP83" s="64">
        <v>82</v>
      </c>
      <c r="CQ83" s="99">
        <v>241.42</v>
      </c>
      <c r="CR83" s="99">
        <v>326.14</v>
      </c>
      <c r="CS83" s="99">
        <v>121.9</v>
      </c>
      <c r="CT83" s="99">
        <v>117</v>
      </c>
    </row>
    <row r="84" spans="1:98" x14ac:dyDescent="0.25">
      <c r="A84" s="1">
        <v>3</v>
      </c>
      <c r="B84" s="1">
        <v>8</v>
      </c>
      <c r="C84">
        <v>13</v>
      </c>
      <c r="D84">
        <v>6</v>
      </c>
      <c r="E84" s="61">
        <v>5030.6537071250705</v>
      </c>
      <c r="F84" s="61">
        <v>100.6130741425014</v>
      </c>
      <c r="G84">
        <v>59.1</v>
      </c>
      <c r="H84" s="99">
        <v>210.321023</v>
      </c>
      <c r="V84" s="64">
        <v>83</v>
      </c>
      <c r="W84" s="99">
        <v>4425.536188</v>
      </c>
      <c r="X84" s="99">
        <v>4253.2129180000002</v>
      </c>
      <c r="Y84" s="99">
        <v>172.32327000000001</v>
      </c>
      <c r="AM84" s="64">
        <v>83</v>
      </c>
      <c r="AN84" s="99">
        <v>2.6647599999999998</v>
      </c>
      <c r="AO84" s="100">
        <v>-8.0518999999999998</v>
      </c>
      <c r="AP84" s="99">
        <v>2.5596999999999999</v>
      </c>
      <c r="AQ84" s="99">
        <v>117</v>
      </c>
      <c r="AS84" s="64">
        <v>83</v>
      </c>
      <c r="AT84" s="99">
        <v>5.0693299999999999</v>
      </c>
      <c r="AU84" s="100">
        <v>-8.0518999999999998</v>
      </c>
      <c r="AV84" s="99">
        <v>2.5596999999999999</v>
      </c>
      <c r="AW84" s="99">
        <v>117</v>
      </c>
      <c r="BK84" s="64">
        <v>83</v>
      </c>
      <c r="BL84" s="99">
        <v>0.40955999999999998</v>
      </c>
      <c r="BM84" s="99">
        <v>2.2599999999999999E-2</v>
      </c>
      <c r="BN84" s="99">
        <v>0.20710000000000001</v>
      </c>
      <c r="BO84" s="99">
        <v>133</v>
      </c>
      <c r="BQ84" s="64">
        <v>83</v>
      </c>
      <c r="BR84" s="99">
        <v>0.21545</v>
      </c>
      <c r="BS84" s="99">
        <v>2.2599999999999999E-2</v>
      </c>
      <c r="BT84" s="99">
        <v>0.20710000000000001</v>
      </c>
      <c r="BU84" s="99">
        <v>133</v>
      </c>
      <c r="CJ84" s="64">
        <v>83</v>
      </c>
      <c r="CK84" s="99">
        <v>133.238</v>
      </c>
      <c r="CL84" s="100">
        <v>-402.59</v>
      </c>
      <c r="CM84" s="99">
        <v>127.98</v>
      </c>
      <c r="CN84" s="99">
        <v>117</v>
      </c>
      <c r="CP84" s="64">
        <v>83</v>
      </c>
      <c r="CQ84" s="99">
        <v>253.46600000000001</v>
      </c>
      <c r="CR84" s="100">
        <v>-402.59</v>
      </c>
      <c r="CS84" s="99">
        <v>127.98</v>
      </c>
      <c r="CT84" s="99">
        <v>117</v>
      </c>
    </row>
    <row r="85" spans="1:98" x14ac:dyDescent="0.25">
      <c r="A85" s="1">
        <v>4</v>
      </c>
      <c r="B85" s="1">
        <v>6</v>
      </c>
      <c r="C85">
        <v>6</v>
      </c>
      <c r="D85">
        <v>6</v>
      </c>
      <c r="E85" s="61">
        <v>5297.7180496425408</v>
      </c>
      <c r="F85" s="61">
        <v>105.95436099285081</v>
      </c>
      <c r="G85">
        <v>57.6</v>
      </c>
      <c r="H85" s="99">
        <v>326.76570700000002</v>
      </c>
      <c r="V85" s="64">
        <v>84</v>
      </c>
      <c r="W85" s="99">
        <v>4141.7982169999996</v>
      </c>
      <c r="X85" s="99">
        <v>4292.0702920000003</v>
      </c>
      <c r="Y85" s="100">
        <v>-150.272075</v>
      </c>
      <c r="AM85" s="64">
        <v>84</v>
      </c>
      <c r="AN85" s="99">
        <v>2.6541800000000002</v>
      </c>
      <c r="AO85" s="100">
        <v>-6.6494999999999997</v>
      </c>
      <c r="AP85" s="99">
        <v>2.5495000000000001</v>
      </c>
      <c r="AQ85" s="99">
        <v>117</v>
      </c>
      <c r="AS85" s="64">
        <v>84</v>
      </c>
      <c r="AT85" s="99">
        <v>5.0491999999999999</v>
      </c>
      <c r="AU85" s="100">
        <v>-6.6494999999999997</v>
      </c>
      <c r="AV85" s="99">
        <v>2.5495000000000001</v>
      </c>
      <c r="AW85" s="99">
        <v>117</v>
      </c>
      <c r="BK85" s="64">
        <v>84</v>
      </c>
      <c r="BL85" s="99">
        <v>0.4073</v>
      </c>
      <c r="BM85" s="100">
        <v>-0.13619999999999999</v>
      </c>
      <c r="BN85" s="99">
        <v>0.2059</v>
      </c>
      <c r="BO85" s="99">
        <v>133</v>
      </c>
      <c r="BQ85" s="64">
        <v>84</v>
      </c>
      <c r="BR85" s="99">
        <v>0.21426000000000001</v>
      </c>
      <c r="BS85" s="100">
        <v>-0.13619999999999999</v>
      </c>
      <c r="BT85" s="99">
        <v>0.2059</v>
      </c>
      <c r="BU85" s="99">
        <v>133</v>
      </c>
      <c r="CJ85" s="64">
        <v>84</v>
      </c>
      <c r="CK85" s="99">
        <v>132.709</v>
      </c>
      <c r="CL85" s="100">
        <v>-332.47</v>
      </c>
      <c r="CM85" s="99">
        <v>127.48</v>
      </c>
      <c r="CN85" s="99">
        <v>117</v>
      </c>
      <c r="CP85" s="64">
        <v>84</v>
      </c>
      <c r="CQ85" s="99">
        <v>252.46</v>
      </c>
      <c r="CR85" s="100">
        <v>-332.47</v>
      </c>
      <c r="CS85" s="99">
        <v>127.48</v>
      </c>
      <c r="CT85" s="99">
        <v>117</v>
      </c>
    </row>
    <row r="86" spans="1:98" x14ac:dyDescent="0.25">
      <c r="A86" s="1">
        <v>5</v>
      </c>
      <c r="B86" s="1">
        <v>7</v>
      </c>
      <c r="C86">
        <v>9</v>
      </c>
      <c r="D86">
        <v>6</v>
      </c>
      <c r="E86" s="61">
        <v>4971.7684954614824</v>
      </c>
      <c r="F86" s="61">
        <v>99.435369909229649</v>
      </c>
      <c r="G86">
        <v>58.4</v>
      </c>
      <c r="H86" s="99">
        <v>220.986313</v>
      </c>
      <c r="V86" s="64">
        <v>85</v>
      </c>
      <c r="W86" s="99">
        <v>4124.2100570000002</v>
      </c>
      <c r="X86" s="99">
        <v>4286.5144479999999</v>
      </c>
      <c r="Y86" s="100">
        <v>-162.30439100000001</v>
      </c>
      <c r="AM86" s="64">
        <v>85</v>
      </c>
      <c r="AN86" s="99">
        <v>2.56799</v>
      </c>
      <c r="AO86" s="99">
        <v>8.5975999999999999</v>
      </c>
      <c r="AP86" s="99">
        <v>2.4666999999999999</v>
      </c>
      <c r="AQ86" s="99">
        <v>117</v>
      </c>
      <c r="AS86" s="64">
        <v>85</v>
      </c>
      <c r="AT86" s="99">
        <v>4.8852500000000001</v>
      </c>
      <c r="AU86" s="99">
        <v>8.5975999999999999</v>
      </c>
      <c r="AV86" s="99">
        <v>2.4666999999999999</v>
      </c>
      <c r="AW86" s="99">
        <v>117</v>
      </c>
      <c r="BK86" s="64">
        <v>85</v>
      </c>
      <c r="BL86" s="99">
        <v>0.40916999999999998</v>
      </c>
      <c r="BM86" s="99">
        <v>4.8669999999999998E-2</v>
      </c>
      <c r="BN86" s="99">
        <v>0.2069</v>
      </c>
      <c r="BO86" s="99">
        <v>133</v>
      </c>
      <c r="BQ86" s="64">
        <v>85</v>
      </c>
      <c r="BR86" s="99">
        <v>0.21523999999999999</v>
      </c>
      <c r="BS86" s="99">
        <v>4.8669999999999998E-2</v>
      </c>
      <c r="BT86" s="99">
        <v>0.2069</v>
      </c>
      <c r="BU86" s="99">
        <v>133</v>
      </c>
      <c r="CJ86" s="64">
        <v>85</v>
      </c>
      <c r="CK86" s="99">
        <v>128.4</v>
      </c>
      <c r="CL86" s="99">
        <v>429.88</v>
      </c>
      <c r="CM86" s="99">
        <v>123.34</v>
      </c>
      <c r="CN86" s="99">
        <v>117</v>
      </c>
      <c r="CP86" s="64">
        <v>85</v>
      </c>
      <c r="CQ86" s="99">
        <v>244.262</v>
      </c>
      <c r="CR86" s="99">
        <v>429.88</v>
      </c>
      <c r="CS86" s="99">
        <v>123.34</v>
      </c>
      <c r="CT86" s="99">
        <v>117</v>
      </c>
    </row>
    <row r="87" spans="1:98" x14ac:dyDescent="0.25">
      <c r="A87" s="1">
        <v>6</v>
      </c>
      <c r="B87" s="1">
        <v>8</v>
      </c>
      <c r="C87">
        <v>16</v>
      </c>
      <c r="D87">
        <v>6</v>
      </c>
      <c r="E87" s="61">
        <v>3970.6986906578841</v>
      </c>
      <c r="F87" s="61">
        <v>79.413973813157682</v>
      </c>
      <c r="G87">
        <v>58.3</v>
      </c>
      <c r="H87" s="100">
        <v>-475.68214999999998</v>
      </c>
      <c r="V87" s="64">
        <v>86</v>
      </c>
      <c r="W87" s="99">
        <v>4235.1254719999997</v>
      </c>
      <c r="X87" s="99">
        <v>4181.0858230000003</v>
      </c>
      <c r="Y87" s="99">
        <v>54.039648999999997</v>
      </c>
      <c r="AM87" s="64">
        <v>86</v>
      </c>
      <c r="AN87" s="99">
        <v>2.51288</v>
      </c>
      <c r="AO87" s="100">
        <v>-1.7735000000000001</v>
      </c>
      <c r="AP87" s="99">
        <v>2.4138000000000002</v>
      </c>
      <c r="AQ87" s="99">
        <v>117</v>
      </c>
      <c r="AS87" s="64">
        <v>86</v>
      </c>
      <c r="AT87" s="99">
        <v>4.7804099999999998</v>
      </c>
      <c r="AU87" s="100">
        <v>-1.7735000000000001</v>
      </c>
      <c r="AV87" s="99">
        <v>2.4138000000000002</v>
      </c>
      <c r="AW87" s="99">
        <v>117</v>
      </c>
      <c r="BK87" s="64">
        <v>86</v>
      </c>
      <c r="BL87" s="99">
        <v>0.38880999999999999</v>
      </c>
      <c r="BM87" s="99">
        <v>0.74670000000000003</v>
      </c>
      <c r="BN87" s="99">
        <v>0.1966</v>
      </c>
      <c r="BO87" s="99">
        <v>133</v>
      </c>
      <c r="BQ87" s="64">
        <v>86</v>
      </c>
      <c r="BR87" s="99">
        <v>0.20452999999999999</v>
      </c>
      <c r="BS87" s="99">
        <v>0.74670000000000003</v>
      </c>
      <c r="BT87" s="99">
        <v>0.1966</v>
      </c>
      <c r="BU87" s="99">
        <v>133</v>
      </c>
      <c r="CJ87" s="64">
        <v>86</v>
      </c>
      <c r="CK87" s="99">
        <v>125.64400000000001</v>
      </c>
      <c r="CL87" s="100">
        <v>-88.672600000000003</v>
      </c>
      <c r="CM87" s="99">
        <v>120.69</v>
      </c>
      <c r="CN87" s="99">
        <v>117</v>
      </c>
      <c r="CP87" s="64">
        <v>86</v>
      </c>
      <c r="CQ87" s="99">
        <v>239.02</v>
      </c>
      <c r="CR87" s="100">
        <v>-88.672600000000003</v>
      </c>
      <c r="CS87" s="99">
        <v>120.69</v>
      </c>
      <c r="CT87" s="99">
        <v>117</v>
      </c>
    </row>
    <row r="88" spans="1:98" x14ac:dyDescent="0.25">
      <c r="A88" s="1">
        <v>7</v>
      </c>
      <c r="B88" s="1">
        <v>5</v>
      </c>
      <c r="C88">
        <v>2</v>
      </c>
      <c r="D88">
        <v>6</v>
      </c>
      <c r="E88" s="61">
        <v>4296.6111334243715</v>
      </c>
      <c r="F88" s="61">
        <v>85.932222668487427</v>
      </c>
      <c r="G88">
        <v>57.5</v>
      </c>
      <c r="H88" s="100">
        <v>-149.90516400000001</v>
      </c>
      <c r="V88" s="64">
        <v>87</v>
      </c>
      <c r="W88" s="99">
        <v>4462.3719170000004</v>
      </c>
      <c r="X88" s="99">
        <v>3867.4067610000002</v>
      </c>
      <c r="Y88" s="99">
        <v>594.96515599999998</v>
      </c>
      <c r="AM88" s="64">
        <v>87</v>
      </c>
      <c r="AN88" s="99">
        <v>2.6819899999999999</v>
      </c>
      <c r="AO88" s="99">
        <v>1.2965</v>
      </c>
      <c r="AP88" s="99">
        <v>2.5762</v>
      </c>
      <c r="AQ88" s="99">
        <v>117</v>
      </c>
      <c r="AS88" s="64">
        <v>87</v>
      </c>
      <c r="AT88" s="99">
        <v>5.1021099999999997</v>
      </c>
      <c r="AU88" s="99">
        <v>1.2965</v>
      </c>
      <c r="AV88" s="99">
        <v>2.5762</v>
      </c>
      <c r="AW88" s="99">
        <v>117</v>
      </c>
      <c r="BK88" s="64">
        <v>87</v>
      </c>
      <c r="BL88" s="99">
        <v>0.40725</v>
      </c>
      <c r="BM88" s="99">
        <v>3.2480000000000002E-2</v>
      </c>
      <c r="BN88" s="99">
        <v>0.2059</v>
      </c>
      <c r="BO88" s="99">
        <v>133</v>
      </c>
      <c r="BQ88" s="64">
        <v>87</v>
      </c>
      <c r="BR88" s="99">
        <v>0.21423</v>
      </c>
      <c r="BS88" s="99">
        <v>3.2480000000000002E-2</v>
      </c>
      <c r="BT88" s="99">
        <v>0.2059</v>
      </c>
      <c r="BU88" s="99">
        <v>133</v>
      </c>
      <c r="CJ88" s="64">
        <v>87</v>
      </c>
      <c r="CK88" s="99">
        <v>134.09899999999999</v>
      </c>
      <c r="CL88" s="99">
        <v>64.826499999999996</v>
      </c>
      <c r="CM88" s="99">
        <v>128.81</v>
      </c>
      <c r="CN88" s="99">
        <v>117</v>
      </c>
      <c r="CP88" s="64">
        <v>87</v>
      </c>
      <c r="CQ88" s="99">
        <v>255.10499999999999</v>
      </c>
      <c r="CR88" s="99">
        <v>64.826499999999996</v>
      </c>
      <c r="CS88" s="99">
        <v>128.81</v>
      </c>
      <c r="CT88" s="99">
        <v>117</v>
      </c>
    </row>
    <row r="89" spans="1:98" x14ac:dyDescent="0.25">
      <c r="A89" s="1">
        <v>9</v>
      </c>
      <c r="B89" s="1">
        <v>8</v>
      </c>
      <c r="C89">
        <v>14</v>
      </c>
      <c r="D89">
        <v>6</v>
      </c>
      <c r="E89" s="61">
        <v>4036.942565667925</v>
      </c>
      <c r="F89" s="61">
        <v>80.738851313358495</v>
      </c>
      <c r="G89">
        <v>58</v>
      </c>
      <c r="H89" s="99">
        <v>47.044714999999997</v>
      </c>
      <c r="V89" s="64">
        <v>88</v>
      </c>
      <c r="W89" s="99">
        <v>4142.2170459999998</v>
      </c>
      <c r="X89" s="99">
        <v>4306.6530899999998</v>
      </c>
      <c r="Y89" s="100">
        <v>-164.43604400000001</v>
      </c>
      <c r="AM89" s="64">
        <v>88</v>
      </c>
      <c r="AN89" s="99">
        <v>2.6021999999999998</v>
      </c>
      <c r="AO89" s="99">
        <v>8.6130999999999993</v>
      </c>
      <c r="AP89" s="99">
        <v>2.4996</v>
      </c>
      <c r="AQ89" s="99">
        <v>117</v>
      </c>
      <c r="AS89" s="64">
        <v>88</v>
      </c>
      <c r="AT89" s="99">
        <v>4.9503199999999996</v>
      </c>
      <c r="AU89" s="99">
        <v>8.6130999999999993</v>
      </c>
      <c r="AV89" s="99">
        <v>2.4996</v>
      </c>
      <c r="AW89" s="99">
        <v>117</v>
      </c>
      <c r="BK89" s="64">
        <v>88</v>
      </c>
      <c r="BL89" s="99">
        <v>0.40279999999999999</v>
      </c>
      <c r="BM89" s="99">
        <v>0.98270000000000002</v>
      </c>
      <c r="BN89" s="99">
        <v>0.2036</v>
      </c>
      <c r="BO89" s="99">
        <v>133</v>
      </c>
      <c r="BQ89" s="64">
        <v>88</v>
      </c>
      <c r="BR89" s="99">
        <v>0.21189</v>
      </c>
      <c r="BS89" s="99">
        <v>0.98270000000000002</v>
      </c>
      <c r="BT89" s="99">
        <v>0.2036</v>
      </c>
      <c r="BU89" s="99">
        <v>133</v>
      </c>
      <c r="CJ89" s="64">
        <v>88</v>
      </c>
      <c r="CK89" s="99">
        <v>130.11000000000001</v>
      </c>
      <c r="CL89" s="99">
        <v>430.66</v>
      </c>
      <c r="CM89" s="99">
        <v>124.98</v>
      </c>
      <c r="CN89" s="99">
        <v>117</v>
      </c>
      <c r="CP89" s="64">
        <v>88</v>
      </c>
      <c r="CQ89" s="99">
        <v>247.51599999999999</v>
      </c>
      <c r="CR89" s="99">
        <v>430.66</v>
      </c>
      <c r="CS89" s="99">
        <v>124.98</v>
      </c>
      <c r="CT89" s="99">
        <v>117</v>
      </c>
    </row>
    <row r="90" spans="1:98" x14ac:dyDescent="0.25">
      <c r="A90" s="1">
        <v>10</v>
      </c>
      <c r="B90" s="1">
        <v>7</v>
      </c>
      <c r="C90">
        <v>10</v>
      </c>
      <c r="D90">
        <v>6</v>
      </c>
      <c r="E90" s="61">
        <v>5255.8908346051885</v>
      </c>
      <c r="F90" s="61">
        <v>105.11781669210377</v>
      </c>
      <c r="G90">
        <v>55.8</v>
      </c>
      <c r="H90" s="99">
        <v>506.08945399999999</v>
      </c>
      <c r="V90" s="64">
        <v>89</v>
      </c>
      <c r="W90" s="99">
        <v>4000.5495219999998</v>
      </c>
      <c r="X90" s="99">
        <v>4141.1102099999998</v>
      </c>
      <c r="Y90" s="100">
        <v>-140.560688</v>
      </c>
      <c r="AM90" s="64">
        <v>89</v>
      </c>
      <c r="AN90" s="99">
        <v>2.67001</v>
      </c>
      <c r="AO90" s="100">
        <v>-9.8733000000000004</v>
      </c>
      <c r="AP90" s="99">
        <v>2.5647000000000002</v>
      </c>
      <c r="AQ90" s="99">
        <v>117</v>
      </c>
      <c r="AS90" s="64">
        <v>89</v>
      </c>
      <c r="AT90" s="99">
        <v>5.0793299999999997</v>
      </c>
      <c r="AU90" s="100">
        <v>-9.8733000000000004</v>
      </c>
      <c r="AV90" s="99">
        <v>2.5647000000000002</v>
      </c>
      <c r="AW90" s="99">
        <v>117</v>
      </c>
      <c r="BK90" s="64">
        <v>89</v>
      </c>
      <c r="BL90" s="99">
        <v>0.40349000000000002</v>
      </c>
      <c r="BM90" s="99">
        <v>1.8166</v>
      </c>
      <c r="BN90" s="99">
        <v>0.20399999999999999</v>
      </c>
      <c r="BO90" s="99">
        <v>133</v>
      </c>
      <c r="BQ90" s="64">
        <v>89</v>
      </c>
      <c r="BR90" s="99">
        <v>0.21226</v>
      </c>
      <c r="BS90" s="99">
        <v>1.8166</v>
      </c>
      <c r="BT90" s="99">
        <v>0.20399999999999999</v>
      </c>
      <c r="BU90" s="99">
        <v>133</v>
      </c>
      <c r="CJ90" s="64">
        <v>89</v>
      </c>
      <c r="CK90" s="99">
        <v>133.501</v>
      </c>
      <c r="CL90" s="100">
        <v>-493.66</v>
      </c>
      <c r="CM90" s="99">
        <v>128.24</v>
      </c>
      <c r="CN90" s="99">
        <v>117</v>
      </c>
      <c r="CP90" s="64">
        <v>89</v>
      </c>
      <c r="CQ90" s="99">
        <v>253.96600000000001</v>
      </c>
      <c r="CR90" s="100">
        <v>-493.66</v>
      </c>
      <c r="CS90" s="99">
        <v>128.24</v>
      </c>
      <c r="CT90" s="99">
        <v>117</v>
      </c>
    </row>
    <row r="91" spans="1:98" x14ac:dyDescent="0.25">
      <c r="A91" s="1">
        <v>11</v>
      </c>
      <c r="B91" s="1">
        <v>8</v>
      </c>
      <c r="C91">
        <v>15</v>
      </c>
      <c r="D91">
        <v>6</v>
      </c>
      <c r="E91" s="61">
        <v>4142.2170455458272</v>
      </c>
      <c r="F91" s="61">
        <v>82.844340910916543</v>
      </c>
      <c r="G91">
        <v>57.6</v>
      </c>
      <c r="H91" s="100">
        <v>-164.43604400000001</v>
      </c>
      <c r="V91" s="64">
        <v>90</v>
      </c>
      <c r="W91" s="99">
        <v>4657.084906</v>
      </c>
      <c r="X91" s="99">
        <v>4072.2079189999999</v>
      </c>
      <c r="Y91" s="99">
        <v>584.87698699999999</v>
      </c>
      <c r="AM91" s="64">
        <v>90</v>
      </c>
      <c r="AN91" s="99">
        <v>2.6486299999999998</v>
      </c>
      <c r="AO91" s="99">
        <v>4.6528999999999998</v>
      </c>
      <c r="AP91" s="99">
        <v>2.5442</v>
      </c>
      <c r="AQ91" s="99">
        <v>117</v>
      </c>
      <c r="AS91" s="64">
        <v>90</v>
      </c>
      <c r="AT91" s="99">
        <v>5.0386600000000001</v>
      </c>
      <c r="AU91" s="99">
        <v>4.6528999999999998</v>
      </c>
      <c r="AV91" s="99">
        <v>2.5442</v>
      </c>
      <c r="AW91" s="99">
        <v>117</v>
      </c>
      <c r="BK91" s="64">
        <v>90</v>
      </c>
      <c r="BL91" s="99">
        <v>0.40221000000000001</v>
      </c>
      <c r="BM91" s="99">
        <v>0.39610000000000001</v>
      </c>
      <c r="BN91" s="99">
        <v>0.20330000000000001</v>
      </c>
      <c r="BO91" s="99">
        <v>133</v>
      </c>
      <c r="BQ91" s="64">
        <v>90</v>
      </c>
      <c r="BR91" s="99">
        <v>0.21157999999999999</v>
      </c>
      <c r="BS91" s="99">
        <v>0.39610000000000001</v>
      </c>
      <c r="BT91" s="99">
        <v>0.20330000000000001</v>
      </c>
      <c r="BU91" s="99">
        <v>133</v>
      </c>
      <c r="CJ91" s="64">
        <v>90</v>
      </c>
      <c r="CK91" s="99">
        <v>132.43199999999999</v>
      </c>
      <c r="CL91" s="99">
        <v>232.65</v>
      </c>
      <c r="CM91" s="99">
        <v>127.21</v>
      </c>
      <c r="CN91" s="99">
        <v>117</v>
      </c>
      <c r="CP91" s="64">
        <v>90</v>
      </c>
      <c r="CQ91" s="99">
        <v>251.93299999999999</v>
      </c>
      <c r="CR91" s="99">
        <v>232.65</v>
      </c>
      <c r="CS91" s="99">
        <v>127.21</v>
      </c>
      <c r="CT91" s="99">
        <v>117</v>
      </c>
    </row>
    <row r="92" spans="1:98" x14ac:dyDescent="0.25">
      <c r="A92" s="1">
        <v>12</v>
      </c>
      <c r="B92" s="1">
        <v>7</v>
      </c>
      <c r="C92">
        <v>11</v>
      </c>
      <c r="D92">
        <v>6</v>
      </c>
      <c r="E92" s="61">
        <v>4016.3033175355445</v>
      </c>
      <c r="F92" s="61">
        <v>80.326066350710889</v>
      </c>
      <c r="G92">
        <v>58</v>
      </c>
      <c r="H92" s="100">
        <v>-89.206131999999997</v>
      </c>
      <c r="V92" s="64">
        <v>91</v>
      </c>
      <c r="W92" s="99">
        <v>3922.960157</v>
      </c>
      <c r="X92" s="99">
        <v>4111.0652929999997</v>
      </c>
      <c r="Y92" s="100">
        <v>-188.10513599999999</v>
      </c>
      <c r="AM92" s="64">
        <v>91</v>
      </c>
      <c r="AN92" s="99">
        <v>2.71698</v>
      </c>
      <c r="AO92" s="99">
        <v>6.2271999999999998</v>
      </c>
      <c r="AP92" s="99">
        <v>2.6097999999999999</v>
      </c>
      <c r="AQ92" s="99">
        <v>117</v>
      </c>
      <c r="AS92" s="64">
        <v>91</v>
      </c>
      <c r="AT92" s="99">
        <v>5.1686699999999997</v>
      </c>
      <c r="AU92" s="99">
        <v>6.2271999999999998</v>
      </c>
      <c r="AV92" s="99">
        <v>2.6097999999999999</v>
      </c>
      <c r="AW92" s="99">
        <v>117</v>
      </c>
      <c r="BK92" s="64">
        <v>91</v>
      </c>
      <c r="BL92" s="99">
        <v>0.40899999999999997</v>
      </c>
      <c r="BM92" s="99">
        <v>0.78069999999999995</v>
      </c>
      <c r="BN92" s="99">
        <v>0.20680000000000001</v>
      </c>
      <c r="BO92" s="99">
        <v>133</v>
      </c>
      <c r="BQ92" s="64">
        <v>91</v>
      </c>
      <c r="BR92" s="99">
        <v>0.21515000000000001</v>
      </c>
      <c r="BS92" s="99">
        <v>0.78069999999999995</v>
      </c>
      <c r="BT92" s="99">
        <v>0.20680000000000001</v>
      </c>
      <c r="BU92" s="99">
        <v>133</v>
      </c>
      <c r="CJ92" s="64">
        <v>91</v>
      </c>
      <c r="CK92" s="99">
        <v>135.84899999999999</v>
      </c>
      <c r="CL92" s="99">
        <v>311.36</v>
      </c>
      <c r="CM92" s="99">
        <v>130.49</v>
      </c>
      <c r="CN92" s="99">
        <v>117</v>
      </c>
      <c r="CP92" s="64">
        <v>91</v>
      </c>
      <c r="CQ92" s="99">
        <v>258.43299999999999</v>
      </c>
      <c r="CR92" s="99">
        <v>311.36</v>
      </c>
      <c r="CS92" s="99">
        <v>130.49</v>
      </c>
      <c r="CT92" s="99">
        <v>117</v>
      </c>
    </row>
    <row r="93" spans="1:98" x14ac:dyDescent="0.25">
      <c r="A93" s="1">
        <v>13</v>
      </c>
      <c r="B93" s="1">
        <v>7</v>
      </c>
      <c r="C93">
        <v>12</v>
      </c>
      <c r="D93">
        <v>6</v>
      </c>
      <c r="E93" s="61">
        <v>3744.8889870672342</v>
      </c>
      <c r="F93" s="61">
        <v>74.897779741344678</v>
      </c>
      <c r="G93">
        <v>58</v>
      </c>
      <c r="H93" s="100">
        <v>-72.937747000000002</v>
      </c>
      <c r="V93" s="64">
        <v>92</v>
      </c>
      <c r="W93" s="99">
        <v>4172.1394490000002</v>
      </c>
      <c r="X93" s="99">
        <v>4128.524445</v>
      </c>
      <c r="Y93" s="99">
        <v>43.615003999999999</v>
      </c>
      <c r="AM93" s="64">
        <v>92</v>
      </c>
      <c r="AN93" s="99">
        <v>2.6560899999999998</v>
      </c>
      <c r="AO93" s="99">
        <v>11.814500000000001</v>
      </c>
      <c r="AP93" s="99">
        <v>2.5514000000000001</v>
      </c>
      <c r="AQ93" s="99">
        <v>117</v>
      </c>
      <c r="AS93" s="64">
        <v>92</v>
      </c>
      <c r="AT93" s="99">
        <v>5.0528399999999998</v>
      </c>
      <c r="AU93" s="99">
        <v>11.814500000000001</v>
      </c>
      <c r="AV93" s="99">
        <v>2.5514000000000001</v>
      </c>
      <c r="AW93" s="99">
        <v>117</v>
      </c>
      <c r="BK93" s="64">
        <v>92</v>
      </c>
      <c r="BL93" s="99">
        <v>0.40306999999999998</v>
      </c>
      <c r="BM93" s="99">
        <v>0.77280000000000004</v>
      </c>
      <c r="BN93" s="99">
        <v>0.20380000000000001</v>
      </c>
      <c r="BO93" s="99">
        <v>133</v>
      </c>
      <c r="BQ93" s="64">
        <v>92</v>
      </c>
      <c r="BR93" s="99">
        <v>0.21203</v>
      </c>
      <c r="BS93" s="99">
        <v>0.77280000000000004</v>
      </c>
      <c r="BT93" s="99">
        <v>0.20380000000000001</v>
      </c>
      <c r="BU93" s="99">
        <v>133</v>
      </c>
      <c r="CJ93" s="64">
        <v>92</v>
      </c>
      <c r="CK93" s="99">
        <v>132.80500000000001</v>
      </c>
      <c r="CL93" s="99">
        <v>590.73</v>
      </c>
      <c r="CM93" s="99">
        <v>127.57</v>
      </c>
      <c r="CN93" s="99">
        <v>117</v>
      </c>
      <c r="CP93" s="64">
        <v>92</v>
      </c>
      <c r="CQ93" s="99">
        <v>252.642</v>
      </c>
      <c r="CR93" s="99">
        <v>590.73</v>
      </c>
      <c r="CS93" s="99">
        <v>127.57</v>
      </c>
      <c r="CT93" s="99">
        <v>117</v>
      </c>
    </row>
    <row r="94" spans="1:98" x14ac:dyDescent="0.25">
      <c r="A94" s="1">
        <v>14</v>
      </c>
      <c r="B94" s="1">
        <v>5</v>
      </c>
      <c r="C94">
        <v>3</v>
      </c>
      <c r="D94">
        <v>6</v>
      </c>
      <c r="E94" s="61">
        <v>3795.9728492248373</v>
      </c>
      <c r="F94" s="61">
        <v>75.919456984496748</v>
      </c>
      <c r="G94">
        <v>58.1</v>
      </c>
      <c r="H94" s="100">
        <v>-150.25573399999999</v>
      </c>
      <c r="V94" s="64">
        <v>93</v>
      </c>
      <c r="W94" s="99">
        <v>4016.3033180000002</v>
      </c>
      <c r="X94" s="99">
        <v>4105.5094499999996</v>
      </c>
      <c r="Y94" s="100">
        <v>-89.206131999999997</v>
      </c>
      <c r="AM94" s="64">
        <v>93</v>
      </c>
      <c r="AN94" s="99">
        <v>2.6117900000000001</v>
      </c>
      <c r="AO94" s="99">
        <v>7.9538000000000002</v>
      </c>
      <c r="AP94" s="99">
        <v>2.5087999999999999</v>
      </c>
      <c r="AQ94" s="99">
        <v>117</v>
      </c>
      <c r="AS94" s="64">
        <v>93</v>
      </c>
      <c r="AT94" s="99">
        <v>4.9685600000000001</v>
      </c>
      <c r="AU94" s="99">
        <v>7.9538000000000002</v>
      </c>
      <c r="AV94" s="99">
        <v>2.5087999999999999</v>
      </c>
      <c r="AW94" s="99">
        <v>117</v>
      </c>
      <c r="BK94" s="64">
        <v>93</v>
      </c>
      <c r="BL94" s="99">
        <v>0.39754</v>
      </c>
      <c r="BM94" s="99">
        <v>6.2799999999999995E-2</v>
      </c>
      <c r="BN94" s="99">
        <v>0.20100000000000001</v>
      </c>
      <c r="BO94" s="99">
        <v>133</v>
      </c>
      <c r="BQ94" s="64">
        <v>93</v>
      </c>
      <c r="BR94" s="99">
        <v>0.20912</v>
      </c>
      <c r="BS94" s="99">
        <v>6.2799999999999995E-2</v>
      </c>
      <c r="BT94" s="99">
        <v>0.20100000000000001</v>
      </c>
      <c r="BU94" s="99">
        <v>133</v>
      </c>
      <c r="CJ94" s="64">
        <v>93</v>
      </c>
      <c r="CK94" s="99">
        <v>130.589</v>
      </c>
      <c r="CL94" s="99">
        <v>397.69</v>
      </c>
      <c r="CM94" s="99">
        <v>125.44</v>
      </c>
      <c r="CN94" s="99">
        <v>117</v>
      </c>
      <c r="CP94" s="64">
        <v>93</v>
      </c>
      <c r="CQ94" s="99">
        <v>248.428</v>
      </c>
      <c r="CR94" s="99">
        <v>397.69</v>
      </c>
      <c r="CS94" s="99">
        <v>125.44</v>
      </c>
      <c r="CT94" s="99">
        <v>117</v>
      </c>
    </row>
    <row r="95" spans="1:98" x14ac:dyDescent="0.25">
      <c r="A95" s="1">
        <v>18</v>
      </c>
      <c r="B95" s="1">
        <v>6</v>
      </c>
      <c r="C95">
        <v>7</v>
      </c>
      <c r="D95">
        <v>6</v>
      </c>
      <c r="E95" s="61">
        <v>5352.9504377861676</v>
      </c>
      <c r="F95" s="61">
        <v>107.05900875572335</v>
      </c>
      <c r="G95">
        <v>57.8</v>
      </c>
      <c r="H95" s="99">
        <v>412.309506</v>
      </c>
      <c r="V95" s="64">
        <v>94</v>
      </c>
      <c r="W95" s="99">
        <v>2793.349667</v>
      </c>
      <c r="X95" s="99">
        <v>4000.080825</v>
      </c>
      <c r="Y95" s="100">
        <v>-1206.7311580000001</v>
      </c>
      <c r="AM95" s="64">
        <v>94</v>
      </c>
      <c r="AN95" s="99">
        <v>2.6880299999999999</v>
      </c>
      <c r="AO95" s="100">
        <v>-6.3041</v>
      </c>
      <c r="AP95" s="99">
        <v>2.5819999999999999</v>
      </c>
      <c r="AQ95" s="99">
        <v>117</v>
      </c>
      <c r="AS95" s="64">
        <v>94</v>
      </c>
      <c r="AT95" s="99">
        <v>5.1135999999999999</v>
      </c>
      <c r="AU95" s="100">
        <v>-6.3041</v>
      </c>
      <c r="AV95" s="99">
        <v>2.5819999999999999</v>
      </c>
      <c r="AW95" s="99">
        <v>117</v>
      </c>
      <c r="BK95" s="64">
        <v>94</v>
      </c>
      <c r="BL95" s="99">
        <v>0.40567999999999999</v>
      </c>
      <c r="BM95" s="100">
        <v>-0.23419999999999999</v>
      </c>
      <c r="BN95" s="99">
        <v>0.2051</v>
      </c>
      <c r="BO95" s="99">
        <v>133</v>
      </c>
      <c r="BQ95" s="64">
        <v>94</v>
      </c>
      <c r="BR95" s="99">
        <v>0.21340000000000001</v>
      </c>
      <c r="BS95" s="100">
        <v>-0.23419999999999999</v>
      </c>
      <c r="BT95" s="99">
        <v>0.2051</v>
      </c>
      <c r="BU95" s="99">
        <v>133</v>
      </c>
      <c r="CJ95" s="64">
        <v>94</v>
      </c>
      <c r="CK95" s="99">
        <v>134.40100000000001</v>
      </c>
      <c r="CL95" s="100">
        <v>-315.20999999999998</v>
      </c>
      <c r="CM95" s="99">
        <v>129.1</v>
      </c>
      <c r="CN95" s="99">
        <v>117</v>
      </c>
      <c r="CP95" s="64">
        <v>94</v>
      </c>
      <c r="CQ95" s="99">
        <v>255.68</v>
      </c>
      <c r="CR95" s="100">
        <v>-315.20999999999998</v>
      </c>
      <c r="CS95" s="99">
        <v>129.1</v>
      </c>
      <c r="CT95" s="99">
        <v>117</v>
      </c>
    </row>
    <row r="96" spans="1:98" x14ac:dyDescent="0.25">
      <c r="A96" s="1">
        <v>19</v>
      </c>
      <c r="B96" s="1">
        <v>5</v>
      </c>
      <c r="C96">
        <v>4</v>
      </c>
      <c r="D96">
        <v>6</v>
      </c>
      <c r="E96" s="61">
        <v>5216.2399389509201</v>
      </c>
      <c r="F96" s="61">
        <v>104.32479877901841</v>
      </c>
      <c r="G96">
        <v>58.8</v>
      </c>
      <c r="H96" s="99">
        <v>519.71994700000005</v>
      </c>
      <c r="V96" s="64">
        <v>95</v>
      </c>
      <c r="W96" s="99">
        <v>4284.3802720000003</v>
      </c>
      <c r="X96" s="99">
        <v>3686.401762</v>
      </c>
      <c r="Y96" s="99">
        <v>597.97851000000003</v>
      </c>
      <c r="AM96" s="64">
        <v>95</v>
      </c>
      <c r="AN96" s="99">
        <v>2.6491899999999999</v>
      </c>
      <c r="AO96" s="100">
        <v>-2.7157</v>
      </c>
      <c r="AP96" s="99">
        <v>2.5447000000000002</v>
      </c>
      <c r="AQ96" s="99">
        <v>117</v>
      </c>
      <c r="AS96" s="64">
        <v>95</v>
      </c>
      <c r="AT96" s="99">
        <v>5.03972</v>
      </c>
      <c r="AU96" s="100">
        <v>-2.7157</v>
      </c>
      <c r="AV96" s="99">
        <v>2.5447000000000002</v>
      </c>
      <c r="AW96" s="99">
        <v>117</v>
      </c>
      <c r="BK96" s="64">
        <v>95</v>
      </c>
      <c r="BL96" s="99">
        <v>0.40179999999999999</v>
      </c>
      <c r="BM96" s="100">
        <v>-0.1114</v>
      </c>
      <c r="BN96" s="99">
        <v>0.2031</v>
      </c>
      <c r="BO96" s="99">
        <v>133</v>
      </c>
      <c r="BQ96" s="64">
        <v>95</v>
      </c>
      <c r="BR96" s="99">
        <v>0.21135999999999999</v>
      </c>
      <c r="BS96" s="100">
        <v>-0.1114</v>
      </c>
      <c r="BT96" s="99">
        <v>0.2031</v>
      </c>
      <c r="BU96" s="99">
        <v>133</v>
      </c>
      <c r="CJ96" s="64">
        <v>95</v>
      </c>
      <c r="CK96" s="99">
        <v>132.46</v>
      </c>
      <c r="CL96" s="100">
        <v>-135.78</v>
      </c>
      <c r="CM96" s="99">
        <v>127.24</v>
      </c>
      <c r="CN96" s="99">
        <v>117</v>
      </c>
      <c r="CP96" s="64">
        <v>95</v>
      </c>
      <c r="CQ96" s="99">
        <v>251.98599999999999</v>
      </c>
      <c r="CR96" s="100">
        <v>-135.78</v>
      </c>
      <c r="CS96" s="99">
        <v>127.24</v>
      </c>
      <c r="CT96" s="99">
        <v>117</v>
      </c>
    </row>
    <row r="97" spans="1:98" x14ac:dyDescent="0.25">
      <c r="A97" s="1">
        <v>20</v>
      </c>
      <c r="B97" s="1">
        <v>6</v>
      </c>
      <c r="C97">
        <v>8</v>
      </c>
      <c r="D97">
        <v>6</v>
      </c>
      <c r="E97" s="61">
        <v>4031.4129648967796</v>
      </c>
      <c r="F97" s="61">
        <v>80.628259297935585</v>
      </c>
      <c r="G97">
        <v>58.6</v>
      </c>
      <c r="H97" s="100">
        <v>-285.18428899999998</v>
      </c>
      <c r="V97" s="64">
        <v>96</v>
      </c>
      <c r="W97" s="99">
        <v>4523.7807050000001</v>
      </c>
      <c r="X97" s="99">
        <v>4125.648091</v>
      </c>
      <c r="Y97" s="99">
        <v>398.13261399999999</v>
      </c>
      <c r="AM97" s="64">
        <v>96</v>
      </c>
      <c r="AN97" s="99">
        <v>2.7063899999999999</v>
      </c>
      <c r="AO97" s="99">
        <v>3.5472000000000001</v>
      </c>
      <c r="AP97" s="99">
        <v>2.5996999999999999</v>
      </c>
      <c r="AQ97" s="99">
        <v>117</v>
      </c>
      <c r="AS97" s="64">
        <v>96</v>
      </c>
      <c r="AT97" s="99">
        <v>5.1485300000000001</v>
      </c>
      <c r="AU97" s="99">
        <v>3.5472000000000001</v>
      </c>
      <c r="AV97" s="99">
        <v>2.5996999999999999</v>
      </c>
      <c r="AW97" s="99">
        <v>117</v>
      </c>
      <c r="BK97" s="64">
        <v>96</v>
      </c>
      <c r="BL97" s="99">
        <v>0.41047</v>
      </c>
      <c r="BM97" s="100">
        <v>-5.076E-2</v>
      </c>
      <c r="BN97" s="99">
        <v>0.20749999999999999</v>
      </c>
      <c r="BO97" s="99">
        <v>133</v>
      </c>
      <c r="BQ97" s="64">
        <v>96</v>
      </c>
      <c r="BR97" s="99">
        <v>0.21592</v>
      </c>
      <c r="BS97" s="100">
        <v>-5.076E-2</v>
      </c>
      <c r="BT97" s="99">
        <v>0.20749999999999999</v>
      </c>
      <c r="BU97" s="99">
        <v>133</v>
      </c>
      <c r="CJ97" s="64">
        <v>96</v>
      </c>
      <c r="CK97" s="99">
        <v>135.32</v>
      </c>
      <c r="CL97" s="99">
        <v>177.36</v>
      </c>
      <c r="CM97" s="99">
        <v>129.97999999999999</v>
      </c>
      <c r="CN97" s="99">
        <v>117</v>
      </c>
      <c r="CP97" s="64">
        <v>96</v>
      </c>
      <c r="CQ97" s="99">
        <v>257.42700000000002</v>
      </c>
      <c r="CR97" s="99">
        <v>177.36</v>
      </c>
      <c r="CS97" s="99">
        <v>129.97999999999999</v>
      </c>
      <c r="CT97" s="99">
        <v>117</v>
      </c>
    </row>
    <row r="98" spans="1:98" x14ac:dyDescent="0.25">
      <c r="A98" s="1">
        <v>1</v>
      </c>
      <c r="B98" s="1">
        <v>7</v>
      </c>
      <c r="C98">
        <v>9</v>
      </c>
      <c r="D98">
        <v>7</v>
      </c>
      <c r="E98" s="61">
        <v>5312.035103221142</v>
      </c>
      <c r="F98" s="61">
        <v>106.24070206442283</v>
      </c>
      <c r="G98">
        <v>58.3</v>
      </c>
      <c r="H98" s="99">
        <v>504.92081400000001</v>
      </c>
      <c r="V98" s="64">
        <v>97</v>
      </c>
      <c r="W98" s="99">
        <v>3648.8366940000001</v>
      </c>
      <c r="X98" s="99">
        <v>3784.525204</v>
      </c>
      <c r="Y98" s="100">
        <v>-135.68851000000001</v>
      </c>
      <c r="AM98" s="64">
        <v>97</v>
      </c>
      <c r="AN98" s="99">
        <v>2.6722800000000002</v>
      </c>
      <c r="AO98" s="100">
        <v>-11.0274</v>
      </c>
      <c r="AP98" s="99">
        <v>2.5669</v>
      </c>
      <c r="AQ98" s="99">
        <v>117</v>
      </c>
      <c r="AS98" s="64">
        <v>97</v>
      </c>
      <c r="AT98" s="99">
        <v>5.0836499999999996</v>
      </c>
      <c r="AU98" s="100">
        <v>-11.0274</v>
      </c>
      <c r="AV98" s="99">
        <v>2.5669</v>
      </c>
      <c r="AW98" s="99">
        <v>117</v>
      </c>
      <c r="BK98" s="64">
        <v>97</v>
      </c>
      <c r="BL98" s="99">
        <v>0.40551999999999999</v>
      </c>
      <c r="BM98" s="100">
        <v>-8.9760000000000006E-2</v>
      </c>
      <c r="BN98" s="99">
        <v>0.20499999999999999</v>
      </c>
      <c r="BO98" s="99">
        <v>133</v>
      </c>
      <c r="BQ98" s="64">
        <v>97</v>
      </c>
      <c r="BR98" s="99">
        <v>0.21332000000000001</v>
      </c>
      <c r="BS98" s="100">
        <v>-8.9760000000000006E-2</v>
      </c>
      <c r="BT98" s="99">
        <v>0.20499999999999999</v>
      </c>
      <c r="BU98" s="99">
        <v>133</v>
      </c>
      <c r="CJ98" s="64">
        <v>97</v>
      </c>
      <c r="CK98" s="99">
        <v>133.614</v>
      </c>
      <c r="CL98" s="100">
        <v>-551.37</v>
      </c>
      <c r="CM98" s="99">
        <v>128.35</v>
      </c>
      <c r="CN98" s="99">
        <v>117</v>
      </c>
      <c r="CP98" s="64">
        <v>97</v>
      </c>
      <c r="CQ98" s="99">
        <v>254.18199999999999</v>
      </c>
      <c r="CR98" s="100">
        <v>-551.37</v>
      </c>
      <c r="CS98" s="99">
        <v>128.35</v>
      </c>
      <c r="CT98" s="99">
        <v>117</v>
      </c>
    </row>
    <row r="99" spans="1:98" x14ac:dyDescent="0.25">
      <c r="A99" s="1">
        <v>2</v>
      </c>
      <c r="B99" s="1">
        <v>8</v>
      </c>
      <c r="C99">
        <v>14</v>
      </c>
      <c r="D99">
        <v>7</v>
      </c>
      <c r="E99" s="61">
        <v>4654.2909470640216</v>
      </c>
      <c r="F99" s="61">
        <v>93.085818941280436</v>
      </c>
      <c r="G99">
        <v>57.9</v>
      </c>
      <c r="H99" s="99">
        <v>309.93568099999999</v>
      </c>
      <c r="V99" s="64">
        <v>98</v>
      </c>
      <c r="W99" s="99">
        <v>3710.2931960000001</v>
      </c>
      <c r="X99" s="99">
        <v>3853.4274949999999</v>
      </c>
      <c r="Y99" s="100">
        <v>-143.134299</v>
      </c>
      <c r="AM99" s="64">
        <v>98</v>
      </c>
      <c r="AN99" s="99">
        <v>2.5561500000000001</v>
      </c>
      <c r="AO99" s="100">
        <v>-9.625</v>
      </c>
      <c r="AP99" s="99">
        <v>2.4554</v>
      </c>
      <c r="AQ99" s="99">
        <v>117</v>
      </c>
      <c r="AS99" s="64">
        <v>98</v>
      </c>
      <c r="AT99" s="99">
        <v>4.8627200000000004</v>
      </c>
      <c r="AU99" s="100">
        <v>-9.625</v>
      </c>
      <c r="AV99" s="99">
        <v>2.4554</v>
      </c>
      <c r="AW99" s="99">
        <v>117</v>
      </c>
      <c r="BK99" s="64">
        <v>98</v>
      </c>
      <c r="BL99" s="99">
        <v>0.39883999999999997</v>
      </c>
      <c r="BM99" s="100">
        <v>-0.2485</v>
      </c>
      <c r="BN99" s="99">
        <v>0.2016</v>
      </c>
      <c r="BO99" s="99">
        <v>133</v>
      </c>
      <c r="BQ99" s="64">
        <v>98</v>
      </c>
      <c r="BR99" s="99">
        <v>0.20979999999999999</v>
      </c>
      <c r="BS99" s="100">
        <v>-0.2485</v>
      </c>
      <c r="BT99" s="99">
        <v>0.2016</v>
      </c>
      <c r="BU99" s="99">
        <v>133</v>
      </c>
      <c r="CJ99" s="64">
        <v>98</v>
      </c>
      <c r="CK99" s="99">
        <v>127.807</v>
      </c>
      <c r="CL99" s="100">
        <v>-481.25</v>
      </c>
      <c r="CM99" s="99">
        <v>122.77</v>
      </c>
      <c r="CN99" s="99">
        <v>117</v>
      </c>
      <c r="CP99" s="64">
        <v>98</v>
      </c>
      <c r="CQ99" s="99">
        <v>243.136</v>
      </c>
      <c r="CR99" s="100">
        <v>-481.25</v>
      </c>
      <c r="CS99" s="99">
        <v>122.77</v>
      </c>
      <c r="CT99" s="99">
        <v>117</v>
      </c>
    </row>
    <row r="100" spans="1:98" x14ac:dyDescent="0.25">
      <c r="A100" s="1">
        <v>3</v>
      </c>
      <c r="B100" s="1">
        <v>5</v>
      </c>
      <c r="C100">
        <v>1</v>
      </c>
      <c r="D100">
        <v>7</v>
      </c>
      <c r="E100" s="61">
        <v>4558.2094947385331</v>
      </c>
      <c r="F100" s="61">
        <v>91.164189894770658</v>
      </c>
      <c r="G100">
        <v>58.5</v>
      </c>
      <c r="H100" s="100">
        <v>-208.68301700000001</v>
      </c>
      <c r="V100" s="64">
        <v>99</v>
      </c>
      <c r="W100" s="99">
        <v>3710.7385330000002</v>
      </c>
      <c r="X100" s="99">
        <v>3823.3825780000002</v>
      </c>
      <c r="Y100" s="100">
        <v>-112.64404500000001</v>
      </c>
      <c r="AM100" s="64">
        <v>99</v>
      </c>
      <c r="AN100" s="99">
        <v>2.55742</v>
      </c>
      <c r="AO100" s="99">
        <v>5.6220999999999997</v>
      </c>
      <c r="AP100" s="99">
        <v>2.4565999999999999</v>
      </c>
      <c r="AQ100" s="99">
        <v>117</v>
      </c>
      <c r="AS100" s="64">
        <v>99</v>
      </c>
      <c r="AT100" s="99">
        <v>4.8651299999999997</v>
      </c>
      <c r="AU100" s="99">
        <v>5.6220999999999997</v>
      </c>
      <c r="AV100" s="99">
        <v>2.4565999999999999</v>
      </c>
      <c r="AW100" s="99">
        <v>117</v>
      </c>
      <c r="BK100" s="64">
        <v>99</v>
      </c>
      <c r="BL100" s="99">
        <v>0.40486</v>
      </c>
      <c r="BM100" s="100">
        <v>-6.3689999999999997E-2</v>
      </c>
      <c r="BN100" s="99">
        <v>0.20469999999999999</v>
      </c>
      <c r="BO100" s="99">
        <v>133</v>
      </c>
      <c r="BQ100" s="64">
        <v>99</v>
      </c>
      <c r="BR100" s="99">
        <v>0.21298</v>
      </c>
      <c r="BS100" s="100">
        <v>-6.3689999999999997E-2</v>
      </c>
      <c r="BT100" s="99">
        <v>0.20469999999999999</v>
      </c>
      <c r="BU100" s="99">
        <v>133</v>
      </c>
      <c r="CJ100" s="64">
        <v>99</v>
      </c>
      <c r="CK100" s="99">
        <v>127.871</v>
      </c>
      <c r="CL100" s="99">
        <v>281.10000000000002</v>
      </c>
      <c r="CM100" s="99">
        <v>122.83</v>
      </c>
      <c r="CN100" s="99">
        <v>117</v>
      </c>
      <c r="CP100" s="64">
        <v>99</v>
      </c>
      <c r="CQ100" s="99">
        <v>243.25700000000001</v>
      </c>
      <c r="CR100" s="99">
        <v>281.10000000000002</v>
      </c>
      <c r="CS100" s="99">
        <v>122.83</v>
      </c>
      <c r="CT100" s="99">
        <v>117</v>
      </c>
    </row>
    <row r="101" spans="1:98" x14ac:dyDescent="0.25">
      <c r="A101" s="1">
        <v>4</v>
      </c>
      <c r="B101" s="1">
        <v>7</v>
      </c>
      <c r="C101">
        <v>11</v>
      </c>
      <c r="D101">
        <v>7</v>
      </c>
      <c r="E101" s="61">
        <v>4713.9661016949149</v>
      </c>
      <c r="F101" s="61">
        <v>94.279322033898296</v>
      </c>
      <c r="G101">
        <v>58</v>
      </c>
      <c r="H101" s="100">
        <v>-251.430397</v>
      </c>
      <c r="V101" s="64">
        <v>100</v>
      </c>
      <c r="W101" s="99">
        <v>4249.7765280000003</v>
      </c>
      <c r="X101" s="99">
        <v>3840.8417290000002</v>
      </c>
      <c r="Y101" s="99">
        <v>408.934799</v>
      </c>
      <c r="AM101" s="64">
        <v>100</v>
      </c>
      <c r="AN101" s="99">
        <v>2.7603499999999999</v>
      </c>
      <c r="AO101" s="99">
        <v>3.07</v>
      </c>
      <c r="AP101" s="99">
        <v>2.6515</v>
      </c>
      <c r="AQ101" s="99">
        <v>117</v>
      </c>
      <c r="AS101" s="64">
        <v>100</v>
      </c>
      <c r="AT101" s="99">
        <v>5.2511900000000002</v>
      </c>
      <c r="AU101" s="99">
        <v>3.07</v>
      </c>
      <c r="AV101" s="99">
        <v>2.6515</v>
      </c>
      <c r="AW101" s="99">
        <v>117</v>
      </c>
      <c r="BK101" s="64">
        <v>100</v>
      </c>
      <c r="BL101" s="99">
        <v>0.40993000000000002</v>
      </c>
      <c r="BM101" s="100">
        <v>-0.71419999999999995</v>
      </c>
      <c r="BN101" s="99">
        <v>0.2072</v>
      </c>
      <c r="BO101" s="99">
        <v>133</v>
      </c>
      <c r="BQ101" s="64">
        <v>100</v>
      </c>
      <c r="BR101" s="99">
        <v>0.21564</v>
      </c>
      <c r="BS101" s="100">
        <v>-0.71419999999999995</v>
      </c>
      <c r="BT101" s="99">
        <v>0.2072</v>
      </c>
      <c r="BU101" s="99">
        <v>133</v>
      </c>
      <c r="CJ101" s="64">
        <v>100</v>
      </c>
      <c r="CK101" s="99">
        <v>138.018</v>
      </c>
      <c r="CL101" s="99">
        <v>153.5</v>
      </c>
      <c r="CM101" s="99">
        <v>132.58000000000001</v>
      </c>
      <c r="CN101" s="99">
        <v>117</v>
      </c>
      <c r="CP101" s="64">
        <v>100</v>
      </c>
      <c r="CQ101" s="99">
        <v>262.55900000000003</v>
      </c>
      <c r="CR101" s="99">
        <v>153.5</v>
      </c>
      <c r="CS101" s="99">
        <v>132.58000000000001</v>
      </c>
      <c r="CT101" s="99">
        <v>117</v>
      </c>
    </row>
    <row r="102" spans="1:98" x14ac:dyDescent="0.25">
      <c r="A102" s="1">
        <v>5</v>
      </c>
      <c r="B102" s="1">
        <v>6</v>
      </c>
      <c r="C102">
        <v>7</v>
      </c>
      <c r="D102">
        <v>7</v>
      </c>
      <c r="E102" s="61">
        <v>4280.0939031247481</v>
      </c>
      <c r="F102" s="61">
        <v>85.601878062494961</v>
      </c>
      <c r="G102">
        <v>58.3</v>
      </c>
      <c r="H102" s="100">
        <v>-476.244123</v>
      </c>
      <c r="V102" s="64">
        <v>101</v>
      </c>
      <c r="W102" s="99">
        <v>4216.1456340000004</v>
      </c>
      <c r="X102" s="99">
        <v>3712.3981090000002</v>
      </c>
      <c r="Y102" s="99">
        <v>503.747525</v>
      </c>
      <c r="AM102" s="64">
        <v>101</v>
      </c>
      <c r="AN102" s="99">
        <v>2.6668799999999999</v>
      </c>
      <c r="AO102" s="99">
        <v>10.3866</v>
      </c>
      <c r="AP102" s="99">
        <v>2.5617000000000001</v>
      </c>
      <c r="AQ102" s="99">
        <v>117</v>
      </c>
      <c r="AS102" s="64">
        <v>101</v>
      </c>
      <c r="AT102" s="99">
        <v>5.0733699999999997</v>
      </c>
      <c r="AU102" s="99">
        <v>10.3866</v>
      </c>
      <c r="AV102" s="99">
        <v>2.5617000000000001</v>
      </c>
      <c r="AW102" s="99">
        <v>117</v>
      </c>
      <c r="BK102" s="64">
        <v>101</v>
      </c>
      <c r="BL102" s="99">
        <v>0.39577000000000001</v>
      </c>
      <c r="BM102" s="99">
        <v>0.23599999999999999</v>
      </c>
      <c r="BN102" s="99">
        <v>0.2001</v>
      </c>
      <c r="BO102" s="99">
        <v>133</v>
      </c>
      <c r="BQ102" s="64">
        <v>101</v>
      </c>
      <c r="BR102" s="99">
        <v>0.20818999999999999</v>
      </c>
      <c r="BS102" s="99">
        <v>0.23599999999999999</v>
      </c>
      <c r="BT102" s="99">
        <v>0.2001</v>
      </c>
      <c r="BU102" s="99">
        <v>133</v>
      </c>
      <c r="CJ102" s="64">
        <v>101</v>
      </c>
      <c r="CK102" s="99">
        <v>133.34399999999999</v>
      </c>
      <c r="CL102" s="99">
        <v>519.33000000000004</v>
      </c>
      <c r="CM102" s="99">
        <v>128.09</v>
      </c>
      <c r="CN102" s="99">
        <v>117</v>
      </c>
      <c r="CP102" s="64">
        <v>101</v>
      </c>
      <c r="CQ102" s="99">
        <v>253.66900000000001</v>
      </c>
      <c r="CR102" s="99">
        <v>519.33000000000004</v>
      </c>
      <c r="CS102" s="99">
        <v>128.09</v>
      </c>
      <c r="CT102" s="99">
        <v>117</v>
      </c>
    </row>
    <row r="103" spans="1:98" x14ac:dyDescent="0.25">
      <c r="A103" s="1">
        <v>7</v>
      </c>
      <c r="B103" s="1">
        <v>7</v>
      </c>
      <c r="C103">
        <v>12</v>
      </c>
      <c r="D103">
        <v>7</v>
      </c>
      <c r="E103" s="61">
        <v>4422.0344605992441</v>
      </c>
      <c r="F103" s="61">
        <v>88.440689211984875</v>
      </c>
      <c r="G103">
        <v>57.8</v>
      </c>
      <c r="H103" s="100">
        <v>-57.783366999999998</v>
      </c>
      <c r="V103" s="64">
        <v>102</v>
      </c>
      <c r="W103" s="99">
        <v>3744.8889869999998</v>
      </c>
      <c r="X103" s="99">
        <v>3817.8267340000002</v>
      </c>
      <c r="Y103" s="100">
        <v>-72.937747000000002</v>
      </c>
      <c r="AM103" s="64">
        <v>102</v>
      </c>
      <c r="AN103" s="99">
        <v>2.8100200000000002</v>
      </c>
      <c r="AO103" s="100">
        <v>-8.0998000000000001</v>
      </c>
      <c r="AP103" s="99">
        <v>2.6991999999999998</v>
      </c>
      <c r="AQ103" s="99">
        <v>117</v>
      </c>
      <c r="AS103" s="64">
        <v>102</v>
      </c>
      <c r="AT103" s="99">
        <v>5.3456700000000001</v>
      </c>
      <c r="AU103" s="100">
        <v>-8.0998000000000001</v>
      </c>
      <c r="AV103" s="99">
        <v>2.6991999999999998</v>
      </c>
      <c r="AW103" s="99">
        <v>117</v>
      </c>
      <c r="BK103" s="64">
        <v>102</v>
      </c>
      <c r="BL103" s="99">
        <v>0.41044000000000003</v>
      </c>
      <c r="BM103" s="99">
        <v>1.0699000000000001</v>
      </c>
      <c r="BN103" s="99">
        <v>0.20749999999999999</v>
      </c>
      <c r="BO103" s="99">
        <v>133</v>
      </c>
      <c r="BQ103" s="64">
        <v>102</v>
      </c>
      <c r="BR103" s="99">
        <v>0.21590999999999999</v>
      </c>
      <c r="BS103" s="99">
        <v>1.0699000000000001</v>
      </c>
      <c r="BT103" s="99">
        <v>0.20749999999999999</v>
      </c>
      <c r="BU103" s="99">
        <v>133</v>
      </c>
      <c r="CJ103" s="64">
        <v>102</v>
      </c>
      <c r="CK103" s="99">
        <v>140.501</v>
      </c>
      <c r="CL103" s="100">
        <v>-404.99</v>
      </c>
      <c r="CM103" s="99">
        <v>134.96</v>
      </c>
      <c r="CN103" s="99">
        <v>117</v>
      </c>
      <c r="CP103" s="64">
        <v>102</v>
      </c>
      <c r="CQ103" s="99">
        <v>267.28300000000002</v>
      </c>
      <c r="CR103" s="100">
        <v>-404.99</v>
      </c>
      <c r="CS103" s="99">
        <v>134.96</v>
      </c>
      <c r="CT103" s="99">
        <v>117</v>
      </c>
    </row>
    <row r="104" spans="1:98" x14ac:dyDescent="0.25">
      <c r="A104" s="1">
        <v>8</v>
      </c>
      <c r="B104" s="1">
        <v>8</v>
      </c>
      <c r="C104">
        <v>15</v>
      </c>
      <c r="D104">
        <v>7</v>
      </c>
      <c r="E104" s="61">
        <v>4044.0414491123788</v>
      </c>
      <c r="F104" s="61">
        <v>80.880828982247579</v>
      </c>
      <c r="G104">
        <v>57.6</v>
      </c>
      <c r="H104" s="100">
        <v>-291.007136</v>
      </c>
      <c r="V104" s="64">
        <v>103</v>
      </c>
      <c r="W104" s="99">
        <v>2983.9247329999998</v>
      </c>
      <c r="X104" s="99">
        <v>3398.719047</v>
      </c>
      <c r="Y104" s="100">
        <v>-414.79431399999999</v>
      </c>
      <c r="AM104" s="64">
        <v>103</v>
      </c>
      <c r="AN104" s="99">
        <v>2.7582300000000002</v>
      </c>
      <c r="AO104" s="99">
        <v>6.4264000000000001</v>
      </c>
      <c r="AP104" s="99">
        <v>2.6495000000000002</v>
      </c>
      <c r="AQ104" s="99">
        <v>117</v>
      </c>
      <c r="AS104" s="64">
        <v>103</v>
      </c>
      <c r="AT104" s="99">
        <v>5.2471500000000004</v>
      </c>
      <c r="AU104" s="99">
        <v>6.4264000000000001</v>
      </c>
      <c r="AV104" s="99">
        <v>2.6495000000000002</v>
      </c>
      <c r="AW104" s="99">
        <v>117</v>
      </c>
      <c r="BK104" s="64">
        <v>103</v>
      </c>
      <c r="BL104" s="99">
        <v>0.40328999999999998</v>
      </c>
      <c r="BM104" s="100">
        <v>-0.35060000000000002</v>
      </c>
      <c r="BN104" s="99">
        <v>0.2039</v>
      </c>
      <c r="BO104" s="99">
        <v>133</v>
      </c>
      <c r="BQ104" s="64">
        <v>103</v>
      </c>
      <c r="BR104" s="99">
        <v>0.21215000000000001</v>
      </c>
      <c r="BS104" s="100">
        <v>-0.35060000000000002</v>
      </c>
      <c r="BT104" s="99">
        <v>0.2039</v>
      </c>
      <c r="BU104" s="99">
        <v>133</v>
      </c>
      <c r="CJ104" s="64">
        <v>103</v>
      </c>
      <c r="CK104" s="99">
        <v>137.911</v>
      </c>
      <c r="CL104" s="99">
        <v>321.32</v>
      </c>
      <c r="CM104" s="99">
        <v>132.47</v>
      </c>
      <c r="CN104" s="99">
        <v>117</v>
      </c>
      <c r="CP104" s="64">
        <v>103</v>
      </c>
      <c r="CQ104" s="99">
        <v>262.35700000000003</v>
      </c>
      <c r="CR104" s="99">
        <v>321.32</v>
      </c>
      <c r="CS104" s="99">
        <v>132.47</v>
      </c>
      <c r="CT104" s="99">
        <v>117</v>
      </c>
    </row>
    <row r="105" spans="1:98" x14ac:dyDescent="0.25">
      <c r="A105" s="1">
        <v>11</v>
      </c>
      <c r="B105" s="1">
        <v>5</v>
      </c>
      <c r="C105">
        <v>4</v>
      </c>
      <c r="D105">
        <v>7</v>
      </c>
      <c r="E105" s="61">
        <v>4425.5361876455927</v>
      </c>
      <c r="F105" s="61">
        <v>88.510723752911858</v>
      </c>
      <c r="G105">
        <v>57.6</v>
      </c>
      <c r="H105" s="99">
        <v>172.32327000000001</v>
      </c>
      <c r="V105" s="64">
        <v>104</v>
      </c>
      <c r="W105" s="99">
        <v>3804.4819659999998</v>
      </c>
      <c r="X105" s="99">
        <v>3837.9653760000001</v>
      </c>
      <c r="Y105" s="100">
        <v>-33.483409999999999</v>
      </c>
      <c r="AM105" s="64">
        <v>104</v>
      </c>
      <c r="AN105" s="99">
        <v>2.7095799999999999</v>
      </c>
      <c r="AO105" s="99">
        <v>8.0006000000000004</v>
      </c>
      <c r="AP105" s="99">
        <v>2.6027</v>
      </c>
      <c r="AQ105" s="99">
        <v>117</v>
      </c>
      <c r="AS105" s="64">
        <v>104</v>
      </c>
      <c r="AT105" s="99">
        <v>5.1545899999999998</v>
      </c>
      <c r="AU105" s="99">
        <v>8.0006000000000004</v>
      </c>
      <c r="AV105" s="99">
        <v>2.6027</v>
      </c>
      <c r="AW105" s="99">
        <v>117</v>
      </c>
      <c r="BK105" s="64">
        <v>104</v>
      </c>
      <c r="BL105" s="99">
        <v>0.39604</v>
      </c>
      <c r="BM105" s="99">
        <v>3.4040000000000001E-2</v>
      </c>
      <c r="BN105" s="99">
        <v>0.20019999999999999</v>
      </c>
      <c r="BO105" s="99">
        <v>133</v>
      </c>
      <c r="BQ105" s="64">
        <v>104</v>
      </c>
      <c r="BR105" s="99">
        <v>0.20832999999999999</v>
      </c>
      <c r="BS105" s="99">
        <v>3.4040000000000001E-2</v>
      </c>
      <c r="BT105" s="99">
        <v>0.20019999999999999</v>
      </c>
      <c r="BU105" s="99">
        <v>133</v>
      </c>
      <c r="CJ105" s="64">
        <v>104</v>
      </c>
      <c r="CK105" s="99">
        <v>135.47900000000001</v>
      </c>
      <c r="CL105" s="99">
        <v>400.03</v>
      </c>
      <c r="CM105" s="99">
        <v>130.13999999999999</v>
      </c>
      <c r="CN105" s="99">
        <v>117</v>
      </c>
      <c r="CP105" s="64">
        <v>104</v>
      </c>
      <c r="CQ105" s="99">
        <v>257.73</v>
      </c>
      <c r="CR105" s="99">
        <v>400.03</v>
      </c>
      <c r="CS105" s="99">
        <v>130.13999999999999</v>
      </c>
      <c r="CT105" s="99">
        <v>117</v>
      </c>
    </row>
    <row r="106" spans="1:98" x14ac:dyDescent="0.25">
      <c r="A106" s="1">
        <v>12</v>
      </c>
      <c r="B106" s="1">
        <v>6</v>
      </c>
      <c r="C106">
        <v>6</v>
      </c>
      <c r="D106">
        <v>7</v>
      </c>
      <c r="E106" s="61">
        <v>3922.960157442365</v>
      </c>
      <c r="F106" s="61">
        <v>78.459203148847294</v>
      </c>
      <c r="G106">
        <v>57.5</v>
      </c>
      <c r="H106" s="100">
        <v>-188.10513599999999</v>
      </c>
      <c r="V106" s="64">
        <v>105</v>
      </c>
      <c r="W106" s="99">
        <v>3795.9728490000002</v>
      </c>
      <c r="X106" s="99">
        <v>3946.2285830000001</v>
      </c>
      <c r="Y106" s="100">
        <v>-150.25573399999999</v>
      </c>
      <c r="AM106" s="64">
        <v>105</v>
      </c>
      <c r="AN106" s="99">
        <v>2.6937899999999999</v>
      </c>
      <c r="AO106" s="99">
        <v>13.587999999999999</v>
      </c>
      <c r="AP106" s="99">
        <v>2.5876000000000001</v>
      </c>
      <c r="AQ106" s="99">
        <v>117</v>
      </c>
      <c r="AS106" s="64">
        <v>105</v>
      </c>
      <c r="AT106" s="99">
        <v>5.1245500000000002</v>
      </c>
      <c r="AU106" s="99">
        <v>13.587999999999999</v>
      </c>
      <c r="AV106" s="99">
        <v>2.5876000000000001</v>
      </c>
      <c r="AW106" s="99">
        <v>117</v>
      </c>
      <c r="BK106" s="64">
        <v>105</v>
      </c>
      <c r="BL106" s="99">
        <v>0.39832000000000001</v>
      </c>
      <c r="BM106" s="99">
        <v>2.6079999999999999E-2</v>
      </c>
      <c r="BN106" s="99">
        <v>0.2014</v>
      </c>
      <c r="BO106" s="99">
        <v>133</v>
      </c>
      <c r="BQ106" s="64">
        <v>105</v>
      </c>
      <c r="BR106" s="99">
        <v>0.20952999999999999</v>
      </c>
      <c r="BS106" s="99">
        <v>2.6079999999999999E-2</v>
      </c>
      <c r="BT106" s="99">
        <v>0.2014</v>
      </c>
      <c r="BU106" s="99">
        <v>133</v>
      </c>
      <c r="CJ106" s="64">
        <v>105</v>
      </c>
      <c r="CK106" s="99">
        <v>134.68899999999999</v>
      </c>
      <c r="CL106" s="99">
        <v>679.4</v>
      </c>
      <c r="CM106" s="99">
        <v>129.38</v>
      </c>
      <c r="CN106" s="99">
        <v>117</v>
      </c>
      <c r="CP106" s="64">
        <v>105</v>
      </c>
      <c r="CQ106" s="99">
        <v>256.22800000000001</v>
      </c>
      <c r="CR106" s="99">
        <v>679.4</v>
      </c>
      <c r="CS106" s="99">
        <v>129.38</v>
      </c>
      <c r="CT106" s="99">
        <v>117</v>
      </c>
    </row>
    <row r="107" spans="1:98" x14ac:dyDescent="0.25">
      <c r="A107" s="1">
        <v>14</v>
      </c>
      <c r="B107" s="1">
        <v>6</v>
      </c>
      <c r="C107">
        <v>8</v>
      </c>
      <c r="D107">
        <v>7</v>
      </c>
      <c r="E107" s="61">
        <v>3937.0571933488632</v>
      </c>
      <c r="F107" s="61">
        <v>78.741143866977268</v>
      </c>
      <c r="G107">
        <v>58</v>
      </c>
      <c r="H107" s="100">
        <v>-48.028765</v>
      </c>
      <c r="V107" s="64">
        <v>106</v>
      </c>
      <c r="W107" s="99">
        <v>4429.9100330000001</v>
      </c>
      <c r="X107" s="99">
        <v>4015.1308749999998</v>
      </c>
      <c r="Y107" s="99">
        <v>414.779158</v>
      </c>
      <c r="AM107" s="64">
        <v>106</v>
      </c>
      <c r="AN107" s="99">
        <v>2.73299</v>
      </c>
      <c r="AO107" s="99">
        <v>9.7272999999999996</v>
      </c>
      <c r="AP107" s="99">
        <v>2.6252</v>
      </c>
      <c r="AQ107" s="99">
        <v>117</v>
      </c>
      <c r="AS107" s="64">
        <v>106</v>
      </c>
      <c r="AT107" s="99">
        <v>5.1991300000000003</v>
      </c>
      <c r="AU107" s="99">
        <v>9.7272999999999996</v>
      </c>
      <c r="AV107" s="99">
        <v>2.6252</v>
      </c>
      <c r="AW107" s="99">
        <v>117</v>
      </c>
      <c r="BK107" s="64">
        <v>106</v>
      </c>
      <c r="BL107" s="99">
        <v>0.40255000000000002</v>
      </c>
      <c r="BM107" s="100">
        <v>-0.68389999999999995</v>
      </c>
      <c r="BN107" s="99">
        <v>0.20349999999999999</v>
      </c>
      <c r="BO107" s="99">
        <v>133</v>
      </c>
      <c r="BQ107" s="64">
        <v>106</v>
      </c>
      <c r="BR107" s="99">
        <v>0.21176</v>
      </c>
      <c r="BS107" s="100">
        <v>-0.68389999999999995</v>
      </c>
      <c r="BT107" s="99">
        <v>0.20349999999999999</v>
      </c>
      <c r="BU107" s="99">
        <v>133</v>
      </c>
      <c r="CJ107" s="64">
        <v>106</v>
      </c>
      <c r="CK107" s="99">
        <v>136.649</v>
      </c>
      <c r="CL107" s="99">
        <v>486.36</v>
      </c>
      <c r="CM107" s="99">
        <v>131.26</v>
      </c>
      <c r="CN107" s="99">
        <v>117</v>
      </c>
      <c r="CP107" s="64">
        <v>106</v>
      </c>
      <c r="CQ107" s="99">
        <v>259.95699999999999</v>
      </c>
      <c r="CR107" s="99">
        <v>486.36</v>
      </c>
      <c r="CS107" s="99">
        <v>131.26</v>
      </c>
      <c r="CT107" s="99">
        <v>117</v>
      </c>
    </row>
    <row r="108" spans="1:98" x14ac:dyDescent="0.25">
      <c r="A108" s="1">
        <v>15</v>
      </c>
      <c r="B108" s="1">
        <v>8</v>
      </c>
      <c r="C108">
        <v>13</v>
      </c>
      <c r="D108">
        <v>7</v>
      </c>
      <c r="E108" s="61">
        <v>4975.7924331271588</v>
      </c>
      <c r="F108" s="61">
        <v>99.515848662543178</v>
      </c>
      <c r="G108">
        <v>58.1</v>
      </c>
      <c r="H108" s="99">
        <v>10.004873</v>
      </c>
      <c r="V108" s="64">
        <v>107</v>
      </c>
      <c r="W108" s="99">
        <v>3666.4778700000002</v>
      </c>
      <c r="X108" s="99">
        <v>4002.5451090000001</v>
      </c>
      <c r="Y108" s="100">
        <v>-336.06723899999997</v>
      </c>
      <c r="AM108" s="64">
        <v>107</v>
      </c>
      <c r="AN108" s="99">
        <v>2.7584399999999998</v>
      </c>
      <c r="AO108" s="100">
        <v>-4.5307000000000004</v>
      </c>
      <c r="AP108" s="99">
        <v>2.6497000000000002</v>
      </c>
      <c r="AQ108" s="99">
        <v>117</v>
      </c>
      <c r="AS108" s="64">
        <v>107</v>
      </c>
      <c r="AT108" s="99">
        <v>5.2475500000000004</v>
      </c>
      <c r="AU108" s="100">
        <v>-4.5307000000000004</v>
      </c>
      <c r="AV108" s="99">
        <v>2.6497000000000002</v>
      </c>
      <c r="AW108" s="99">
        <v>117</v>
      </c>
      <c r="BK108" s="64">
        <v>107</v>
      </c>
      <c r="BL108" s="99">
        <v>0.40939999999999999</v>
      </c>
      <c r="BM108" s="100">
        <v>-0.98089999999999999</v>
      </c>
      <c r="BN108" s="99">
        <v>0.20699999999999999</v>
      </c>
      <c r="BO108" s="99">
        <v>133</v>
      </c>
      <c r="BQ108" s="64">
        <v>107</v>
      </c>
      <c r="BR108" s="99">
        <v>0.21536</v>
      </c>
      <c r="BS108" s="100">
        <v>-0.98089999999999999</v>
      </c>
      <c r="BT108" s="99">
        <v>0.20699999999999999</v>
      </c>
      <c r="BU108" s="99">
        <v>133</v>
      </c>
      <c r="CJ108" s="64">
        <v>107</v>
      </c>
      <c r="CK108" s="99">
        <v>137.922</v>
      </c>
      <c r="CL108" s="100">
        <v>-226.53</v>
      </c>
      <c r="CM108" s="99">
        <v>132.47999999999999</v>
      </c>
      <c r="CN108" s="99">
        <v>117</v>
      </c>
      <c r="CP108" s="64">
        <v>107</v>
      </c>
      <c r="CQ108" s="99">
        <v>262.37799999999999</v>
      </c>
      <c r="CR108" s="100">
        <v>-226.53</v>
      </c>
      <c r="CS108" s="99">
        <v>132.47999999999999</v>
      </c>
      <c r="CT108" s="99">
        <v>117</v>
      </c>
    </row>
    <row r="109" spans="1:98" x14ac:dyDescent="0.25">
      <c r="A109" s="1">
        <v>16</v>
      </c>
      <c r="B109" s="1">
        <v>7</v>
      </c>
      <c r="C109">
        <v>10</v>
      </c>
      <c r="D109">
        <v>7</v>
      </c>
      <c r="E109" s="61">
        <v>4865.4363402682948</v>
      </c>
      <c r="F109" s="61">
        <v>97.308726805365893</v>
      </c>
      <c r="G109">
        <v>58.4</v>
      </c>
      <c r="H109" s="99">
        <v>434.37230799999998</v>
      </c>
      <c r="V109" s="64">
        <v>108</v>
      </c>
      <c r="W109" s="99">
        <v>3937.0571930000001</v>
      </c>
      <c r="X109" s="99">
        <v>3985.0859580000001</v>
      </c>
      <c r="Y109" s="100">
        <v>-48.028765</v>
      </c>
      <c r="AM109" s="64">
        <v>108</v>
      </c>
      <c r="AN109" s="99">
        <v>2.7816999999999998</v>
      </c>
      <c r="AO109" s="100">
        <v>-0.94220000000000004</v>
      </c>
      <c r="AP109" s="99">
        <v>2.6720000000000002</v>
      </c>
      <c r="AQ109" s="99">
        <v>117</v>
      </c>
      <c r="AS109" s="64">
        <v>108</v>
      </c>
      <c r="AT109" s="99">
        <v>5.2917899999999998</v>
      </c>
      <c r="AU109" s="100">
        <v>-0.94220000000000004</v>
      </c>
      <c r="AV109" s="99">
        <v>2.6720000000000002</v>
      </c>
      <c r="AW109" s="99">
        <v>117</v>
      </c>
      <c r="BK109" s="64">
        <v>108</v>
      </c>
      <c r="BL109" s="99">
        <v>0.41037000000000001</v>
      </c>
      <c r="BM109" s="100">
        <v>-0.85809999999999997</v>
      </c>
      <c r="BN109" s="99">
        <v>0.20749999999999999</v>
      </c>
      <c r="BO109" s="99">
        <v>133</v>
      </c>
      <c r="BQ109" s="64">
        <v>108</v>
      </c>
      <c r="BR109" s="99">
        <v>0.21587000000000001</v>
      </c>
      <c r="BS109" s="100">
        <v>-0.85809999999999997</v>
      </c>
      <c r="BT109" s="99">
        <v>0.20749999999999999</v>
      </c>
      <c r="BU109" s="99">
        <v>133</v>
      </c>
      <c r="CJ109" s="64">
        <v>108</v>
      </c>
      <c r="CK109" s="99">
        <v>139.08500000000001</v>
      </c>
      <c r="CL109" s="100">
        <v>-47.110599999999998</v>
      </c>
      <c r="CM109" s="99">
        <v>133.6</v>
      </c>
      <c r="CN109" s="99">
        <v>117</v>
      </c>
      <c r="CP109" s="64">
        <v>108</v>
      </c>
      <c r="CQ109" s="99">
        <v>264.58999999999997</v>
      </c>
      <c r="CR109" s="100">
        <v>-47.110599999999998</v>
      </c>
      <c r="CS109" s="99">
        <v>133.6</v>
      </c>
      <c r="CT109" s="99">
        <v>117</v>
      </c>
    </row>
    <row r="110" spans="1:98" x14ac:dyDescent="0.25">
      <c r="A110" s="1">
        <v>17</v>
      </c>
      <c r="B110" s="1">
        <v>6</v>
      </c>
      <c r="C110">
        <v>5</v>
      </c>
      <c r="D110">
        <v>7</v>
      </c>
      <c r="E110" s="61">
        <v>4392.8039199935738</v>
      </c>
      <c r="F110" s="61">
        <v>87.856078399871478</v>
      </c>
      <c r="G110">
        <v>58.2</v>
      </c>
      <c r="H110" s="99">
        <v>157.40743499999999</v>
      </c>
      <c r="V110" s="64">
        <v>109</v>
      </c>
      <c r="W110" s="99">
        <v>4186.4326449999999</v>
      </c>
      <c r="X110" s="99">
        <v>3979.5301140000001</v>
      </c>
      <c r="Y110" s="99">
        <v>206.90253100000001</v>
      </c>
      <c r="AM110" s="64">
        <v>109</v>
      </c>
      <c r="AN110" s="99">
        <v>2.7631700000000001</v>
      </c>
      <c r="AO110" s="99">
        <v>5.3207000000000004</v>
      </c>
      <c r="AP110" s="99">
        <v>2.6541999999999999</v>
      </c>
      <c r="AQ110" s="99">
        <v>117</v>
      </c>
      <c r="AS110" s="64">
        <v>109</v>
      </c>
      <c r="AT110" s="99">
        <v>5.2565499999999998</v>
      </c>
      <c r="AU110" s="99">
        <v>5.3207000000000004</v>
      </c>
      <c r="AV110" s="99">
        <v>2.6541999999999999</v>
      </c>
      <c r="AW110" s="99">
        <v>117</v>
      </c>
      <c r="BK110" s="64">
        <v>109</v>
      </c>
      <c r="BL110" s="99">
        <v>0.4083</v>
      </c>
      <c r="BM110" s="100">
        <v>-0.79749999999999999</v>
      </c>
      <c r="BN110" s="99">
        <v>0.2064</v>
      </c>
      <c r="BO110" s="99">
        <v>133</v>
      </c>
      <c r="BQ110" s="64">
        <v>109</v>
      </c>
      <c r="BR110" s="99">
        <v>0.21478</v>
      </c>
      <c r="BS110" s="100">
        <v>-0.79749999999999999</v>
      </c>
      <c r="BT110" s="99">
        <v>0.2064</v>
      </c>
      <c r="BU110" s="99">
        <v>133</v>
      </c>
      <c r="CJ110" s="64">
        <v>109</v>
      </c>
      <c r="CK110" s="99">
        <v>138.15799999999999</v>
      </c>
      <c r="CL110" s="99">
        <v>266.02999999999997</v>
      </c>
      <c r="CM110" s="99">
        <v>132.71</v>
      </c>
      <c r="CN110" s="99">
        <v>117</v>
      </c>
      <c r="CP110" s="64">
        <v>109</v>
      </c>
      <c r="CQ110" s="99">
        <v>262.827</v>
      </c>
      <c r="CR110" s="99">
        <v>266.02999999999997</v>
      </c>
      <c r="CS110" s="99">
        <v>132.71</v>
      </c>
      <c r="CT110" s="99">
        <v>117</v>
      </c>
    </row>
    <row r="111" spans="1:98" x14ac:dyDescent="0.25">
      <c r="A111" s="1">
        <v>18</v>
      </c>
      <c r="B111" s="1">
        <v>5</v>
      </c>
      <c r="C111">
        <v>3</v>
      </c>
      <c r="D111">
        <v>7</v>
      </c>
      <c r="E111" s="61">
        <v>4695.6542694192303</v>
      </c>
      <c r="F111" s="61">
        <v>93.913085388384602</v>
      </c>
      <c r="G111">
        <v>58.3</v>
      </c>
      <c r="H111" s="100">
        <v>-206.129289</v>
      </c>
      <c r="V111" s="64">
        <v>110</v>
      </c>
      <c r="W111" s="99">
        <v>4005.4349750000001</v>
      </c>
      <c r="X111" s="99">
        <v>3874.1014890000001</v>
      </c>
      <c r="Y111" s="99">
        <v>131.33348599999999</v>
      </c>
      <c r="AM111" s="64">
        <v>110</v>
      </c>
      <c r="AN111" s="99">
        <v>2.7300900000000001</v>
      </c>
      <c r="AO111" s="100">
        <v>-9.2538999999999998</v>
      </c>
      <c r="AP111" s="99">
        <v>2.6223999999999998</v>
      </c>
      <c r="AQ111" s="99">
        <v>117</v>
      </c>
      <c r="AS111" s="64">
        <v>110</v>
      </c>
      <c r="AT111" s="99">
        <v>5.1936200000000001</v>
      </c>
      <c r="AU111" s="100">
        <v>-9.2538999999999998</v>
      </c>
      <c r="AV111" s="99">
        <v>2.6223999999999998</v>
      </c>
      <c r="AW111" s="99">
        <v>117</v>
      </c>
      <c r="BK111" s="64">
        <v>110</v>
      </c>
      <c r="BL111" s="99">
        <v>0.4002</v>
      </c>
      <c r="BM111" s="100">
        <v>-0.83650000000000002</v>
      </c>
      <c r="BN111" s="99">
        <v>0.20230000000000001</v>
      </c>
      <c r="BO111" s="99">
        <v>133</v>
      </c>
      <c r="BQ111" s="64">
        <v>110</v>
      </c>
      <c r="BR111" s="99">
        <v>0.21052000000000001</v>
      </c>
      <c r="BS111" s="100">
        <v>-0.83650000000000002</v>
      </c>
      <c r="BT111" s="99">
        <v>0.20230000000000001</v>
      </c>
      <c r="BU111" s="99">
        <v>133</v>
      </c>
      <c r="CJ111" s="64">
        <v>110</v>
      </c>
      <c r="CK111" s="99">
        <v>136.505</v>
      </c>
      <c r="CL111" s="100">
        <v>-462.7</v>
      </c>
      <c r="CM111" s="99">
        <v>131.12</v>
      </c>
      <c r="CN111" s="99">
        <v>117</v>
      </c>
      <c r="CP111" s="64">
        <v>110</v>
      </c>
      <c r="CQ111" s="99">
        <v>259.68099999999998</v>
      </c>
      <c r="CR111" s="100">
        <v>-462.7</v>
      </c>
      <c r="CS111" s="99">
        <v>131.12</v>
      </c>
      <c r="CT111" s="99">
        <v>117</v>
      </c>
    </row>
    <row r="112" spans="1:98" x14ac:dyDescent="0.25">
      <c r="A112" s="1">
        <v>19</v>
      </c>
      <c r="B112" s="1">
        <v>8</v>
      </c>
      <c r="C112">
        <v>16</v>
      </c>
      <c r="D112">
        <v>7</v>
      </c>
      <c r="E112" s="61">
        <v>4575.2727929954208</v>
      </c>
      <c r="F112" s="61">
        <v>91.505455859908409</v>
      </c>
      <c r="G112">
        <v>58.3</v>
      </c>
      <c r="H112" s="100">
        <v>-174.68737200000001</v>
      </c>
      <c r="V112" s="64">
        <v>111</v>
      </c>
      <c r="W112" s="99">
        <v>3859.3220339999998</v>
      </c>
      <c r="X112" s="99">
        <v>3560.4224260000001</v>
      </c>
      <c r="Y112" s="99">
        <v>298.899608</v>
      </c>
      <c r="AM112" s="64">
        <v>111</v>
      </c>
      <c r="AN112" s="99">
        <v>2.7372800000000002</v>
      </c>
      <c r="AO112" s="100">
        <v>-7.8514999999999997</v>
      </c>
      <c r="AP112" s="99">
        <v>2.6294</v>
      </c>
      <c r="AQ112" s="99">
        <v>117</v>
      </c>
      <c r="AS112" s="64">
        <v>111</v>
      </c>
      <c r="AT112" s="99">
        <v>5.2073</v>
      </c>
      <c r="AU112" s="100">
        <v>-7.8514999999999997</v>
      </c>
      <c r="AV112" s="99">
        <v>2.6294</v>
      </c>
      <c r="AW112" s="99">
        <v>117</v>
      </c>
      <c r="BK112" s="64">
        <v>111</v>
      </c>
      <c r="BL112" s="99">
        <v>0.41050999999999999</v>
      </c>
      <c r="BM112" s="100">
        <v>-0.99519999999999997</v>
      </c>
      <c r="BN112" s="99">
        <v>0.20749999999999999</v>
      </c>
      <c r="BO112" s="99">
        <v>133</v>
      </c>
      <c r="BQ112" s="64">
        <v>111</v>
      </c>
      <c r="BR112" s="99">
        <v>0.21595</v>
      </c>
      <c r="BS112" s="100">
        <v>-0.99519999999999997</v>
      </c>
      <c r="BT112" s="99">
        <v>0.20749999999999999</v>
      </c>
      <c r="BU112" s="99">
        <v>133</v>
      </c>
      <c r="CJ112" s="64">
        <v>111</v>
      </c>
      <c r="CK112" s="99">
        <v>136.864</v>
      </c>
      <c r="CL112" s="100">
        <v>-392.58</v>
      </c>
      <c r="CM112" s="99">
        <v>131.47</v>
      </c>
      <c r="CN112" s="99">
        <v>117</v>
      </c>
      <c r="CP112" s="64">
        <v>111</v>
      </c>
      <c r="CQ112" s="99">
        <v>260.36500000000001</v>
      </c>
      <c r="CR112" s="100">
        <v>-392.58</v>
      </c>
      <c r="CS112" s="99">
        <v>131.47</v>
      </c>
      <c r="CT112" s="99">
        <v>117</v>
      </c>
    </row>
    <row r="113" spans="1:98" x14ac:dyDescent="0.25">
      <c r="A113" s="1">
        <v>20</v>
      </c>
      <c r="B113" s="1">
        <v>5</v>
      </c>
      <c r="C113">
        <v>2</v>
      </c>
      <c r="D113">
        <v>7</v>
      </c>
      <c r="E113" s="61">
        <v>4285.1596112137522</v>
      </c>
      <c r="F113" s="61">
        <v>85.703192224275043</v>
      </c>
      <c r="G113">
        <v>58.1</v>
      </c>
      <c r="H113" s="99">
        <v>7.4197309999999996</v>
      </c>
      <c r="V113" s="64">
        <v>112</v>
      </c>
      <c r="W113" s="99">
        <v>3482.1057110000002</v>
      </c>
      <c r="X113" s="99">
        <v>3999.668756</v>
      </c>
      <c r="Y113" s="100">
        <v>-517.56304499999999</v>
      </c>
      <c r="AM113" s="64">
        <v>112</v>
      </c>
      <c r="AN113" s="99">
        <v>2.5956299999999999</v>
      </c>
      <c r="AO113" s="99">
        <v>7.3955000000000002</v>
      </c>
      <c r="AP113" s="99">
        <v>2.4933000000000001</v>
      </c>
      <c r="AQ113" s="99">
        <v>117</v>
      </c>
      <c r="AS113" s="64">
        <v>112</v>
      </c>
      <c r="AT113" s="99">
        <v>4.9378200000000003</v>
      </c>
      <c r="AU113" s="99">
        <v>7.3955000000000002</v>
      </c>
      <c r="AV113" s="99">
        <v>2.4933000000000001</v>
      </c>
      <c r="AW113" s="99">
        <v>117</v>
      </c>
      <c r="BK113" s="64">
        <v>112</v>
      </c>
      <c r="BL113" s="99">
        <v>0.39766000000000001</v>
      </c>
      <c r="BM113" s="100">
        <v>-0.81040000000000001</v>
      </c>
      <c r="BN113" s="99">
        <v>0.20100000000000001</v>
      </c>
      <c r="BO113" s="99">
        <v>133</v>
      </c>
      <c r="BQ113" s="64">
        <v>112</v>
      </c>
      <c r="BR113" s="99">
        <v>0.20918999999999999</v>
      </c>
      <c r="BS113" s="100">
        <v>-0.81040000000000001</v>
      </c>
      <c r="BT113" s="99">
        <v>0.20100000000000001</v>
      </c>
      <c r="BU113" s="99">
        <v>133</v>
      </c>
      <c r="CJ113" s="64">
        <v>112</v>
      </c>
      <c r="CK113" s="99">
        <v>129.78100000000001</v>
      </c>
      <c r="CL113" s="99">
        <v>369.78</v>
      </c>
      <c r="CM113" s="99">
        <v>124.66</v>
      </c>
      <c r="CN113" s="99">
        <v>117</v>
      </c>
      <c r="CP113" s="64">
        <v>112</v>
      </c>
      <c r="CQ113" s="99">
        <v>246.89099999999999</v>
      </c>
      <c r="CR113" s="99">
        <v>369.78</v>
      </c>
      <c r="CS113" s="99">
        <v>124.66</v>
      </c>
      <c r="CT113" s="99">
        <v>117</v>
      </c>
    </row>
    <row r="114" spans="1:98" x14ac:dyDescent="0.25">
      <c r="A114" s="1">
        <v>1</v>
      </c>
      <c r="B114" s="1">
        <v>8</v>
      </c>
      <c r="C114">
        <v>13</v>
      </c>
      <c r="D114">
        <v>8</v>
      </c>
      <c r="E114" s="61">
        <v>5007.0402441963206</v>
      </c>
      <c r="F114" s="61">
        <v>100.14080488392641</v>
      </c>
      <c r="G114">
        <v>58.5</v>
      </c>
      <c r="H114" s="99">
        <v>179.78731300000001</v>
      </c>
      <c r="V114" s="64">
        <v>113</v>
      </c>
      <c r="W114" s="99">
        <v>5168.135593</v>
      </c>
      <c r="X114" s="99">
        <v>4981.2496789999996</v>
      </c>
      <c r="Y114" s="99">
        <v>186.88591400000001</v>
      </c>
      <c r="AM114" s="64">
        <v>113</v>
      </c>
      <c r="AN114" s="99">
        <v>2.6640100000000002</v>
      </c>
      <c r="AO114" s="99">
        <v>7.3166000000000002</v>
      </c>
      <c r="AP114" s="99">
        <v>2.5590000000000002</v>
      </c>
      <c r="AQ114" s="99">
        <v>117</v>
      </c>
      <c r="AS114" s="64">
        <v>113</v>
      </c>
      <c r="AT114" s="99">
        <v>5.0679100000000004</v>
      </c>
      <c r="AU114" s="99">
        <v>7.3166000000000002</v>
      </c>
      <c r="AV114" s="99">
        <v>2.5590000000000002</v>
      </c>
      <c r="AW114" s="99">
        <v>117</v>
      </c>
      <c r="BK114" s="64">
        <v>113</v>
      </c>
      <c r="BL114" s="99">
        <v>0.39650999999999997</v>
      </c>
      <c r="BM114" s="99">
        <v>0.95020000000000004</v>
      </c>
      <c r="BN114" s="99">
        <v>0.20050000000000001</v>
      </c>
      <c r="BO114" s="99">
        <v>133</v>
      </c>
      <c r="BQ114" s="64">
        <v>113</v>
      </c>
      <c r="BR114" s="99">
        <v>0.20857999999999999</v>
      </c>
      <c r="BS114" s="99">
        <v>0.95020000000000004</v>
      </c>
      <c r="BT114" s="99">
        <v>0.20050000000000001</v>
      </c>
      <c r="BU114" s="99">
        <v>133</v>
      </c>
      <c r="CJ114" s="64">
        <v>113</v>
      </c>
      <c r="CK114" s="99">
        <v>133.20099999999999</v>
      </c>
      <c r="CL114" s="99">
        <v>365.83</v>
      </c>
      <c r="CM114" s="99">
        <v>127.95</v>
      </c>
      <c r="CN114" s="99">
        <v>117</v>
      </c>
      <c r="CP114" s="64">
        <v>113</v>
      </c>
      <c r="CQ114" s="99">
        <v>253.39599999999999</v>
      </c>
      <c r="CR114" s="99">
        <v>365.83</v>
      </c>
      <c r="CS114" s="99">
        <v>127.95</v>
      </c>
      <c r="CT114" s="99">
        <v>117</v>
      </c>
    </row>
    <row r="115" spans="1:98" x14ac:dyDescent="0.25">
      <c r="A115" s="1">
        <v>4</v>
      </c>
      <c r="B115" s="1">
        <v>8</v>
      </c>
      <c r="C115">
        <v>16</v>
      </c>
      <c r="D115">
        <v>8</v>
      </c>
      <c r="E115" s="61">
        <v>4399.2400996063934</v>
      </c>
      <c r="F115" s="61">
        <v>87.984801992127871</v>
      </c>
      <c r="G115">
        <v>57.3</v>
      </c>
      <c r="H115" s="100">
        <v>-586.29503999999997</v>
      </c>
      <c r="V115" s="64">
        <v>114</v>
      </c>
      <c r="W115" s="99">
        <v>4736.2753629999997</v>
      </c>
      <c r="X115" s="99">
        <v>4912.3473880000001</v>
      </c>
      <c r="Y115" s="100">
        <v>-176.072025</v>
      </c>
      <c r="AM115" s="64">
        <v>114</v>
      </c>
      <c r="AN115" s="99">
        <v>2.7068400000000001</v>
      </c>
      <c r="AO115" s="100">
        <v>-11.1698</v>
      </c>
      <c r="AP115" s="99">
        <v>2.6000999999999999</v>
      </c>
      <c r="AQ115" s="99">
        <v>117</v>
      </c>
      <c r="AS115" s="64">
        <v>114</v>
      </c>
      <c r="AT115" s="99">
        <v>5.1494</v>
      </c>
      <c r="AU115" s="100">
        <v>-11.1698</v>
      </c>
      <c r="AV115" s="99">
        <v>2.6000999999999999</v>
      </c>
      <c r="AW115" s="99">
        <v>117</v>
      </c>
      <c r="BK115" s="64">
        <v>114</v>
      </c>
      <c r="BL115" s="99">
        <v>0.40167000000000003</v>
      </c>
      <c r="BM115" s="99">
        <v>1.7841</v>
      </c>
      <c r="BN115" s="99">
        <v>0.2031</v>
      </c>
      <c r="BO115" s="99">
        <v>133</v>
      </c>
      <c r="BQ115" s="64">
        <v>114</v>
      </c>
      <c r="BR115" s="99">
        <v>0.21129999999999999</v>
      </c>
      <c r="BS115" s="99">
        <v>1.7841</v>
      </c>
      <c r="BT115" s="99">
        <v>0.2031</v>
      </c>
      <c r="BU115" s="99">
        <v>133</v>
      </c>
      <c r="CJ115" s="64">
        <v>114</v>
      </c>
      <c r="CK115" s="99">
        <v>135.34200000000001</v>
      </c>
      <c r="CL115" s="100">
        <v>-558.49</v>
      </c>
      <c r="CM115" s="99">
        <v>130.01</v>
      </c>
      <c r="CN115" s="99">
        <v>117</v>
      </c>
      <c r="CP115" s="64">
        <v>114</v>
      </c>
      <c r="CQ115" s="99">
        <v>257.47000000000003</v>
      </c>
      <c r="CR115" s="100">
        <v>-558.49</v>
      </c>
      <c r="CS115" s="99">
        <v>130.01</v>
      </c>
      <c r="CT115" s="99">
        <v>117</v>
      </c>
    </row>
    <row r="116" spans="1:98" x14ac:dyDescent="0.25">
      <c r="A116" s="1">
        <v>5</v>
      </c>
      <c r="B116" s="1">
        <v>5</v>
      </c>
      <c r="C116">
        <v>4</v>
      </c>
      <c r="D116">
        <v>8</v>
      </c>
      <c r="E116" s="61">
        <v>4412.2184914450954</v>
      </c>
      <c r="F116" s="61">
        <v>88.24436982890191</v>
      </c>
      <c r="G116">
        <v>58</v>
      </c>
      <c r="H116" s="100">
        <v>-305.26216099999999</v>
      </c>
      <c r="V116" s="64">
        <v>115</v>
      </c>
      <c r="W116" s="99">
        <v>5308.6022970000004</v>
      </c>
      <c r="X116" s="99">
        <v>4968.6639139999997</v>
      </c>
      <c r="Y116" s="99">
        <v>339.93838299999999</v>
      </c>
      <c r="AM116" s="64">
        <v>115</v>
      </c>
      <c r="AN116" s="99">
        <v>2.7186699999999999</v>
      </c>
      <c r="AO116" s="99">
        <v>3.3563999999999998</v>
      </c>
      <c r="AP116" s="99">
        <v>2.6114999999999999</v>
      </c>
      <c r="AQ116" s="99">
        <v>117</v>
      </c>
      <c r="AS116" s="64">
        <v>115</v>
      </c>
      <c r="AT116" s="99">
        <v>5.1718900000000003</v>
      </c>
      <c r="AU116" s="99">
        <v>3.3563999999999998</v>
      </c>
      <c r="AV116" s="99">
        <v>2.6114999999999999</v>
      </c>
      <c r="AW116" s="99">
        <v>117</v>
      </c>
      <c r="BK116" s="64">
        <v>115</v>
      </c>
      <c r="BL116" s="99">
        <v>0.40660000000000002</v>
      </c>
      <c r="BM116" s="99">
        <v>0.36359999999999998</v>
      </c>
      <c r="BN116" s="99">
        <v>0.2056</v>
      </c>
      <c r="BO116" s="99">
        <v>133</v>
      </c>
      <c r="BQ116" s="64">
        <v>115</v>
      </c>
      <c r="BR116" s="99">
        <v>0.21389</v>
      </c>
      <c r="BS116" s="99">
        <v>0.36359999999999998</v>
      </c>
      <c r="BT116" s="99">
        <v>0.2056</v>
      </c>
      <c r="BU116" s="99">
        <v>133</v>
      </c>
      <c r="CJ116" s="64">
        <v>115</v>
      </c>
      <c r="CK116" s="99">
        <v>135.934</v>
      </c>
      <c r="CL116" s="99">
        <v>167.82</v>
      </c>
      <c r="CM116" s="99">
        <v>130.57</v>
      </c>
      <c r="CN116" s="99">
        <v>117</v>
      </c>
      <c r="CP116" s="64">
        <v>115</v>
      </c>
      <c r="CQ116" s="99">
        <v>258.59500000000003</v>
      </c>
      <c r="CR116" s="99">
        <v>167.82</v>
      </c>
      <c r="CS116" s="99">
        <v>130.57</v>
      </c>
      <c r="CT116" s="99">
        <v>117</v>
      </c>
    </row>
    <row r="117" spans="1:98" x14ac:dyDescent="0.25">
      <c r="A117" s="1">
        <v>6</v>
      </c>
      <c r="B117" s="1">
        <v>7</v>
      </c>
      <c r="C117">
        <v>10</v>
      </c>
      <c r="D117">
        <v>8</v>
      </c>
      <c r="E117" s="61">
        <v>3833.6621415374725</v>
      </c>
      <c r="F117" s="61">
        <v>76.673242830749444</v>
      </c>
      <c r="G117">
        <v>57.8</v>
      </c>
      <c r="H117" s="100">
        <v>-592.58005700000001</v>
      </c>
      <c r="V117" s="64">
        <v>116</v>
      </c>
      <c r="W117" s="99">
        <v>4608.3072540000003</v>
      </c>
      <c r="X117" s="99">
        <v>4951.2047620000003</v>
      </c>
      <c r="Y117" s="100">
        <v>-342.89750800000002</v>
      </c>
      <c r="AM117" s="64">
        <v>116</v>
      </c>
      <c r="AN117" s="99">
        <v>2.7244999999999999</v>
      </c>
      <c r="AO117" s="99">
        <v>4.9306999999999999</v>
      </c>
      <c r="AP117" s="99">
        <v>2.6171000000000002</v>
      </c>
      <c r="AQ117" s="99">
        <v>117</v>
      </c>
      <c r="AS117" s="64">
        <v>116</v>
      </c>
      <c r="AT117" s="99">
        <v>5.1829700000000001</v>
      </c>
      <c r="AU117" s="99">
        <v>4.9306999999999999</v>
      </c>
      <c r="AV117" s="99">
        <v>2.6171000000000002</v>
      </c>
      <c r="AW117" s="99">
        <v>117</v>
      </c>
      <c r="BK117" s="64">
        <v>116</v>
      </c>
      <c r="BL117" s="99">
        <v>0.40578999999999998</v>
      </c>
      <c r="BM117" s="99">
        <v>0.74829999999999997</v>
      </c>
      <c r="BN117" s="99">
        <v>0.20519999999999999</v>
      </c>
      <c r="BO117" s="99">
        <v>133</v>
      </c>
      <c r="BQ117" s="64">
        <v>116</v>
      </c>
      <c r="BR117" s="99">
        <v>0.21346000000000001</v>
      </c>
      <c r="BS117" s="99">
        <v>0.74829999999999997</v>
      </c>
      <c r="BT117" s="99">
        <v>0.20519999999999999</v>
      </c>
      <c r="BU117" s="99">
        <v>133</v>
      </c>
      <c r="CJ117" s="64">
        <v>116</v>
      </c>
      <c r="CK117" s="99">
        <v>136.22499999999999</v>
      </c>
      <c r="CL117" s="99">
        <v>246.53</v>
      </c>
      <c r="CM117" s="99">
        <v>130.85</v>
      </c>
      <c r="CN117" s="99">
        <v>117</v>
      </c>
      <c r="CP117" s="64">
        <v>116</v>
      </c>
      <c r="CQ117" s="99">
        <v>259.149</v>
      </c>
      <c r="CR117" s="99">
        <v>246.53</v>
      </c>
      <c r="CS117" s="99">
        <v>130.85</v>
      </c>
      <c r="CT117" s="99">
        <v>117</v>
      </c>
    </row>
    <row r="118" spans="1:98" x14ac:dyDescent="0.25">
      <c r="A118" s="1">
        <v>7</v>
      </c>
      <c r="B118" s="1">
        <v>8</v>
      </c>
      <c r="C118">
        <v>15</v>
      </c>
      <c r="D118">
        <v>8</v>
      </c>
      <c r="E118" s="61">
        <v>4836.507992609847</v>
      </c>
      <c r="F118" s="61">
        <v>96.730159852196934</v>
      </c>
      <c r="G118">
        <v>57.4</v>
      </c>
      <c r="H118" s="99">
        <v>336.55152299999997</v>
      </c>
      <c r="V118" s="64">
        <v>117</v>
      </c>
      <c r="W118" s="99">
        <v>5107.4080649999996</v>
      </c>
      <c r="X118" s="99">
        <v>4840.2202939999997</v>
      </c>
      <c r="Y118" s="99">
        <v>267.187771</v>
      </c>
      <c r="AM118" s="64">
        <v>117</v>
      </c>
      <c r="AN118" s="99">
        <v>2.8013699999999999</v>
      </c>
      <c r="AO118" s="99">
        <v>10.518000000000001</v>
      </c>
      <c r="AP118" s="99">
        <v>2.6909000000000001</v>
      </c>
      <c r="AQ118" s="99">
        <v>117</v>
      </c>
      <c r="AS118" s="64">
        <v>117</v>
      </c>
      <c r="AT118" s="99">
        <v>5.3292099999999998</v>
      </c>
      <c r="AU118" s="99">
        <v>10.518000000000001</v>
      </c>
      <c r="AV118" s="99">
        <v>2.6909000000000001</v>
      </c>
      <c r="AW118" s="99">
        <v>117</v>
      </c>
      <c r="BK118" s="64">
        <v>117</v>
      </c>
      <c r="BL118" s="99">
        <v>0.40677000000000002</v>
      </c>
      <c r="BM118" s="99">
        <v>0.74029999999999996</v>
      </c>
      <c r="BN118" s="99">
        <v>0.20569999999999999</v>
      </c>
      <c r="BO118" s="99">
        <v>133</v>
      </c>
      <c r="BQ118" s="64">
        <v>117</v>
      </c>
      <c r="BR118" s="99">
        <v>0.21398</v>
      </c>
      <c r="BS118" s="99">
        <v>0.74029999999999996</v>
      </c>
      <c r="BT118" s="99">
        <v>0.20569999999999999</v>
      </c>
      <c r="BU118" s="99">
        <v>133</v>
      </c>
      <c r="CJ118" s="64">
        <v>117</v>
      </c>
      <c r="CK118" s="99">
        <v>140.06800000000001</v>
      </c>
      <c r="CL118" s="99">
        <v>525.9</v>
      </c>
      <c r="CM118" s="99">
        <v>134.55000000000001</v>
      </c>
      <c r="CN118" s="99">
        <v>117</v>
      </c>
      <c r="CP118" s="64">
        <v>117</v>
      </c>
      <c r="CQ118" s="99">
        <v>266.45999999999998</v>
      </c>
      <c r="CR118" s="99">
        <v>525.9</v>
      </c>
      <c r="CS118" s="99">
        <v>134.55000000000001</v>
      </c>
      <c r="CT118" s="99">
        <v>117</v>
      </c>
    </row>
    <row r="119" spans="1:98" x14ac:dyDescent="0.25">
      <c r="A119" s="1">
        <v>8</v>
      </c>
      <c r="B119" s="1">
        <v>6</v>
      </c>
      <c r="C119">
        <v>5</v>
      </c>
      <c r="D119">
        <v>8</v>
      </c>
      <c r="E119" s="61">
        <v>4391.7754036468796</v>
      </c>
      <c r="F119" s="61">
        <v>87.835508072937586</v>
      </c>
      <c r="G119">
        <v>58</v>
      </c>
      <c r="H119" s="99">
        <v>71.309616000000005</v>
      </c>
      <c r="V119" s="64">
        <v>118</v>
      </c>
      <c r="W119" s="99">
        <v>4541.1965620000001</v>
      </c>
      <c r="X119" s="99">
        <v>4945.6489190000002</v>
      </c>
      <c r="Y119" s="100">
        <v>-404.45235700000001</v>
      </c>
      <c r="AM119" s="64">
        <v>118</v>
      </c>
      <c r="AN119" s="99">
        <v>2.7989199999999999</v>
      </c>
      <c r="AO119" s="99">
        <v>6.6573000000000002</v>
      </c>
      <c r="AP119" s="99">
        <v>2.6886000000000001</v>
      </c>
      <c r="AQ119" s="99">
        <v>117</v>
      </c>
      <c r="AS119" s="64">
        <v>118</v>
      </c>
      <c r="AT119" s="99">
        <v>5.32456</v>
      </c>
      <c r="AU119" s="99">
        <v>6.6573000000000002</v>
      </c>
      <c r="AV119" s="99">
        <v>2.6886000000000001</v>
      </c>
      <c r="AW119" s="99">
        <v>117</v>
      </c>
      <c r="BK119" s="64">
        <v>118</v>
      </c>
      <c r="BL119" s="99">
        <v>0.41134999999999999</v>
      </c>
      <c r="BM119" s="99">
        <v>3.0329999999999999E-2</v>
      </c>
      <c r="BN119" s="99">
        <v>0.20799999999999999</v>
      </c>
      <c r="BO119" s="99">
        <v>133</v>
      </c>
      <c r="BQ119" s="64">
        <v>118</v>
      </c>
      <c r="BR119" s="99">
        <v>0.21639</v>
      </c>
      <c r="BS119" s="99">
        <v>3.0329999999999999E-2</v>
      </c>
      <c r="BT119" s="99">
        <v>0.20799999999999999</v>
      </c>
      <c r="BU119" s="99">
        <v>133</v>
      </c>
      <c r="CJ119" s="64">
        <v>118</v>
      </c>
      <c r="CK119" s="99">
        <v>139.946</v>
      </c>
      <c r="CL119" s="99">
        <v>332.86</v>
      </c>
      <c r="CM119" s="99">
        <v>134.43</v>
      </c>
      <c r="CN119" s="99">
        <v>117</v>
      </c>
      <c r="CP119" s="64">
        <v>118</v>
      </c>
      <c r="CQ119" s="99">
        <v>266.22800000000001</v>
      </c>
      <c r="CR119" s="99">
        <v>332.86</v>
      </c>
      <c r="CS119" s="99">
        <v>134.43</v>
      </c>
      <c r="CT119" s="99">
        <v>117</v>
      </c>
    </row>
    <row r="120" spans="1:98" x14ac:dyDescent="0.25">
      <c r="A120" s="1">
        <v>9</v>
      </c>
      <c r="B120" s="1">
        <v>5</v>
      </c>
      <c r="C120">
        <v>2</v>
      </c>
      <c r="D120">
        <v>8</v>
      </c>
      <c r="E120" s="61">
        <v>3971.2394569844969</v>
      </c>
      <c r="F120" s="61">
        <v>79.424789139689935</v>
      </c>
      <c r="G120">
        <v>57.3</v>
      </c>
      <c r="H120" s="99">
        <v>34.781779</v>
      </c>
      <c r="V120" s="64">
        <v>119</v>
      </c>
      <c r="W120" s="99">
        <v>4975.7924329999996</v>
      </c>
      <c r="X120" s="99">
        <v>4965.7875599999998</v>
      </c>
      <c r="Y120" s="99">
        <v>10.004873</v>
      </c>
      <c r="AM120" s="64">
        <v>119</v>
      </c>
      <c r="AN120" s="99">
        <v>2.6978200000000001</v>
      </c>
      <c r="AO120" s="100">
        <v>-7.6006999999999998</v>
      </c>
      <c r="AP120" s="99">
        <v>2.5914000000000001</v>
      </c>
      <c r="AQ120" s="99">
        <v>117</v>
      </c>
      <c r="AS120" s="64">
        <v>119</v>
      </c>
      <c r="AT120" s="99">
        <v>5.1322299999999998</v>
      </c>
      <c r="AU120" s="100">
        <v>-7.6006999999999998</v>
      </c>
      <c r="AV120" s="99">
        <v>2.5914000000000001</v>
      </c>
      <c r="AW120" s="99">
        <v>117</v>
      </c>
      <c r="BK120" s="64">
        <v>119</v>
      </c>
      <c r="BL120" s="99">
        <v>0.40843000000000002</v>
      </c>
      <c r="BM120" s="100">
        <v>-0.26669999999999999</v>
      </c>
      <c r="BN120" s="99">
        <v>0.20649999999999999</v>
      </c>
      <c r="BO120" s="99">
        <v>133</v>
      </c>
      <c r="BQ120" s="64">
        <v>119</v>
      </c>
      <c r="BR120" s="99">
        <v>0.21485000000000001</v>
      </c>
      <c r="BS120" s="100">
        <v>-0.26669999999999999</v>
      </c>
      <c r="BT120" s="99">
        <v>0.20649999999999999</v>
      </c>
      <c r="BU120" s="99">
        <v>133</v>
      </c>
      <c r="CJ120" s="64">
        <v>119</v>
      </c>
      <c r="CK120" s="99">
        <v>134.89099999999999</v>
      </c>
      <c r="CL120" s="100">
        <v>-380.03</v>
      </c>
      <c r="CM120" s="99">
        <v>129.57</v>
      </c>
      <c r="CN120" s="99">
        <v>117</v>
      </c>
      <c r="CP120" s="64">
        <v>119</v>
      </c>
      <c r="CQ120" s="99">
        <v>256.61099999999999</v>
      </c>
      <c r="CR120" s="100">
        <v>-380.03</v>
      </c>
      <c r="CS120" s="99">
        <v>129.57</v>
      </c>
      <c r="CT120" s="99">
        <v>117</v>
      </c>
    </row>
    <row r="121" spans="1:98" x14ac:dyDescent="0.25">
      <c r="A121" s="1">
        <v>10</v>
      </c>
      <c r="B121" s="1">
        <v>6</v>
      </c>
      <c r="C121">
        <v>8</v>
      </c>
      <c r="D121">
        <v>8</v>
      </c>
      <c r="E121" s="61">
        <v>4730.7219053739254</v>
      </c>
      <c r="F121" s="61">
        <v>94.614438107478506</v>
      </c>
      <c r="G121">
        <v>57.3</v>
      </c>
      <c r="H121" s="100">
        <v>-24.63532</v>
      </c>
      <c r="V121" s="64">
        <v>120</v>
      </c>
      <c r="W121" s="99">
        <v>4645.9461799999999</v>
      </c>
      <c r="X121" s="99">
        <v>4526.5412310000002</v>
      </c>
      <c r="Y121" s="99">
        <v>119.404949</v>
      </c>
      <c r="AM121" s="64">
        <v>120</v>
      </c>
      <c r="AN121" s="99">
        <v>2.7130999999999998</v>
      </c>
      <c r="AO121" s="100">
        <v>-4.0122</v>
      </c>
      <c r="AP121" s="99">
        <v>2.6061000000000001</v>
      </c>
      <c r="AQ121" s="99">
        <v>117</v>
      </c>
      <c r="AS121" s="64">
        <v>120</v>
      </c>
      <c r="AT121" s="99">
        <v>5.1612900000000002</v>
      </c>
      <c r="AU121" s="100">
        <v>-4.0122</v>
      </c>
      <c r="AV121" s="99">
        <v>2.6061000000000001</v>
      </c>
      <c r="AW121" s="99">
        <v>117</v>
      </c>
      <c r="BK121" s="64">
        <v>120</v>
      </c>
      <c r="BL121" s="99">
        <v>0.39743000000000001</v>
      </c>
      <c r="BM121" s="100">
        <v>-0.1439</v>
      </c>
      <c r="BN121" s="99">
        <v>0.2009</v>
      </c>
      <c r="BO121" s="99">
        <v>133</v>
      </c>
      <c r="BQ121" s="64">
        <v>120</v>
      </c>
      <c r="BR121" s="99">
        <v>0.20907000000000001</v>
      </c>
      <c r="BS121" s="100">
        <v>-0.1439</v>
      </c>
      <c r="BT121" s="99">
        <v>0.2009</v>
      </c>
      <c r="BU121" s="99">
        <v>133</v>
      </c>
      <c r="CJ121" s="64">
        <v>120</v>
      </c>
      <c r="CK121" s="99">
        <v>135.655</v>
      </c>
      <c r="CL121" s="100">
        <v>-200.61</v>
      </c>
      <c r="CM121" s="99">
        <v>130.31</v>
      </c>
      <c r="CN121" s="99">
        <v>117</v>
      </c>
      <c r="CP121" s="64">
        <v>120</v>
      </c>
      <c r="CQ121" s="99">
        <v>258.06400000000002</v>
      </c>
      <c r="CR121" s="100">
        <v>-200.61</v>
      </c>
      <c r="CS121" s="99">
        <v>130.31</v>
      </c>
      <c r="CT121" s="99">
        <v>117</v>
      </c>
    </row>
    <row r="122" spans="1:98" x14ac:dyDescent="0.25">
      <c r="A122" s="1">
        <v>12</v>
      </c>
      <c r="B122" s="1">
        <v>8</v>
      </c>
      <c r="C122">
        <v>14</v>
      </c>
      <c r="D122">
        <v>8</v>
      </c>
      <c r="E122" s="61">
        <v>4523.7807052775315</v>
      </c>
      <c r="F122" s="61">
        <v>90.475614105550633</v>
      </c>
      <c r="G122">
        <v>57.6</v>
      </c>
      <c r="H122" s="99">
        <v>398.13261399999999</v>
      </c>
      <c r="V122" s="64">
        <v>121</v>
      </c>
      <c r="W122" s="99">
        <v>4867.0400840000002</v>
      </c>
      <c r="X122" s="99">
        <v>4466.6647929999999</v>
      </c>
      <c r="Y122" s="99">
        <v>400.375291</v>
      </c>
      <c r="AM122" s="64">
        <v>121</v>
      </c>
      <c r="AN122" s="99">
        <v>2.73319</v>
      </c>
      <c r="AO122" s="99">
        <v>2.2507000000000001</v>
      </c>
      <c r="AP122" s="99">
        <v>2.6254</v>
      </c>
      <c r="AQ122" s="99">
        <v>117</v>
      </c>
      <c r="AS122" s="64">
        <v>121</v>
      </c>
      <c r="AT122" s="99">
        <v>5.1995199999999997</v>
      </c>
      <c r="AU122" s="99">
        <v>2.2507000000000001</v>
      </c>
      <c r="AV122" s="99">
        <v>2.6254</v>
      </c>
      <c r="AW122" s="99">
        <v>117</v>
      </c>
      <c r="BK122" s="64">
        <v>121</v>
      </c>
      <c r="BL122" s="99">
        <v>0.40837000000000001</v>
      </c>
      <c r="BM122" s="100">
        <v>-8.3239999999999995E-2</v>
      </c>
      <c r="BN122" s="99">
        <v>0.20649999999999999</v>
      </c>
      <c r="BO122" s="99">
        <v>133</v>
      </c>
      <c r="BQ122" s="64">
        <v>121</v>
      </c>
      <c r="BR122" s="99">
        <v>0.21482000000000001</v>
      </c>
      <c r="BS122" s="100">
        <v>-8.3239999999999995E-2</v>
      </c>
      <c r="BT122" s="99">
        <v>0.20649999999999999</v>
      </c>
      <c r="BU122" s="99">
        <v>133</v>
      </c>
      <c r="CJ122" s="64">
        <v>121</v>
      </c>
      <c r="CK122" s="99">
        <v>136.66</v>
      </c>
      <c r="CL122" s="99">
        <v>112.54</v>
      </c>
      <c r="CM122" s="99">
        <v>131.27000000000001</v>
      </c>
      <c r="CN122" s="99">
        <v>117</v>
      </c>
      <c r="CP122" s="64">
        <v>121</v>
      </c>
      <c r="CQ122" s="99">
        <v>259.976</v>
      </c>
      <c r="CR122" s="99">
        <v>112.54</v>
      </c>
      <c r="CS122" s="99">
        <v>131.27000000000001</v>
      </c>
      <c r="CT122" s="99">
        <v>117</v>
      </c>
    </row>
    <row r="123" spans="1:98" x14ac:dyDescent="0.25">
      <c r="A123" s="1">
        <v>13</v>
      </c>
      <c r="B123" s="1">
        <v>5</v>
      </c>
      <c r="C123">
        <v>1</v>
      </c>
      <c r="D123">
        <v>8</v>
      </c>
      <c r="E123" s="61">
        <v>3648.8366937103378</v>
      </c>
      <c r="F123" s="61">
        <v>72.976733874206758</v>
      </c>
      <c r="G123">
        <v>57.6</v>
      </c>
      <c r="H123" s="100">
        <v>-135.68851000000001</v>
      </c>
      <c r="V123" s="64">
        <v>122</v>
      </c>
      <c r="W123" s="99">
        <v>3968.1751140000001</v>
      </c>
      <c r="X123" s="99">
        <v>4397.7625019999996</v>
      </c>
      <c r="Y123" s="100">
        <v>-429.58738799999998</v>
      </c>
      <c r="AM123" s="64">
        <v>122</v>
      </c>
      <c r="AN123" s="99">
        <v>2.7608999999999999</v>
      </c>
      <c r="AO123" s="100">
        <v>-12.3239</v>
      </c>
      <c r="AP123" s="99">
        <v>2.6520000000000001</v>
      </c>
      <c r="AQ123" s="99">
        <v>117</v>
      </c>
      <c r="AS123" s="64">
        <v>122</v>
      </c>
      <c r="AT123" s="99">
        <v>5.2522200000000003</v>
      </c>
      <c r="AU123" s="100">
        <v>-12.3239</v>
      </c>
      <c r="AV123" s="99">
        <v>2.6520000000000001</v>
      </c>
      <c r="AW123" s="99">
        <v>117</v>
      </c>
      <c r="BK123" s="64">
        <v>122</v>
      </c>
      <c r="BL123" s="99">
        <v>0.40889999999999999</v>
      </c>
      <c r="BM123" s="100">
        <v>-0.1222</v>
      </c>
      <c r="BN123" s="99">
        <v>0.20669999999999999</v>
      </c>
      <c r="BO123" s="99">
        <v>133</v>
      </c>
      <c r="BQ123" s="64">
        <v>122</v>
      </c>
      <c r="BR123" s="99">
        <v>0.21510000000000001</v>
      </c>
      <c r="BS123" s="100">
        <v>-0.1222</v>
      </c>
      <c r="BT123" s="99">
        <v>0.20669999999999999</v>
      </c>
      <c r="BU123" s="99">
        <v>133</v>
      </c>
      <c r="CJ123" s="64">
        <v>122</v>
      </c>
      <c r="CK123" s="99">
        <v>138.04499999999999</v>
      </c>
      <c r="CL123" s="100">
        <v>-616.20000000000005</v>
      </c>
      <c r="CM123" s="99">
        <v>132.6</v>
      </c>
      <c r="CN123" s="99">
        <v>117</v>
      </c>
      <c r="CP123" s="64">
        <v>122</v>
      </c>
      <c r="CQ123" s="99">
        <v>262.61099999999999</v>
      </c>
      <c r="CR123" s="100">
        <v>-616.20000000000005</v>
      </c>
      <c r="CS123" s="99">
        <v>132.6</v>
      </c>
      <c r="CT123" s="99">
        <v>117</v>
      </c>
    </row>
    <row r="124" spans="1:98" x14ac:dyDescent="0.25">
      <c r="A124" s="1">
        <v>14</v>
      </c>
      <c r="B124" s="1">
        <v>7</v>
      </c>
      <c r="C124">
        <v>9</v>
      </c>
      <c r="D124">
        <v>8</v>
      </c>
      <c r="E124" s="61">
        <v>4186.4326451923844</v>
      </c>
      <c r="F124" s="61">
        <v>83.728652903847689</v>
      </c>
      <c r="G124">
        <v>58.1</v>
      </c>
      <c r="H124" s="99">
        <v>206.90253100000001</v>
      </c>
      <c r="V124" s="64">
        <v>123</v>
      </c>
      <c r="W124" s="99">
        <v>4236.2520679999998</v>
      </c>
      <c r="X124" s="99">
        <v>4436.6198759999997</v>
      </c>
      <c r="Y124" s="100">
        <v>-200.367808</v>
      </c>
      <c r="AM124" s="64">
        <v>123</v>
      </c>
      <c r="AN124" s="99">
        <v>2.7626400000000002</v>
      </c>
      <c r="AO124" s="100">
        <v>-10.9215</v>
      </c>
      <c r="AP124" s="99">
        <v>2.6537000000000002</v>
      </c>
      <c r="AQ124" s="99">
        <v>117</v>
      </c>
      <c r="AS124" s="64">
        <v>123</v>
      </c>
      <c r="AT124" s="99">
        <v>5.2555500000000004</v>
      </c>
      <c r="AU124" s="100">
        <v>-10.9215</v>
      </c>
      <c r="AV124" s="99">
        <v>2.6537000000000002</v>
      </c>
      <c r="AW124" s="99">
        <v>117</v>
      </c>
      <c r="BK124" s="64">
        <v>123</v>
      </c>
      <c r="BL124" s="99">
        <v>0.40703</v>
      </c>
      <c r="BM124" s="100">
        <v>-0.28100000000000003</v>
      </c>
      <c r="BN124" s="99">
        <v>0.20580000000000001</v>
      </c>
      <c r="BO124" s="99">
        <v>133</v>
      </c>
      <c r="BQ124" s="64">
        <v>123</v>
      </c>
      <c r="BR124" s="99">
        <v>0.21410999999999999</v>
      </c>
      <c r="BS124" s="100">
        <v>-0.28100000000000003</v>
      </c>
      <c r="BT124" s="99">
        <v>0.20580000000000001</v>
      </c>
      <c r="BU124" s="99">
        <v>133</v>
      </c>
      <c r="CJ124" s="64">
        <v>123</v>
      </c>
      <c r="CK124" s="99">
        <v>138.13200000000001</v>
      </c>
      <c r="CL124" s="100">
        <v>-546.08000000000004</v>
      </c>
      <c r="CM124" s="99">
        <v>132.69</v>
      </c>
      <c r="CN124" s="99">
        <v>117</v>
      </c>
      <c r="CP124" s="64">
        <v>123</v>
      </c>
      <c r="CQ124" s="99">
        <v>262.77699999999999</v>
      </c>
      <c r="CR124" s="100">
        <v>-546.08000000000004</v>
      </c>
      <c r="CS124" s="99">
        <v>132.69</v>
      </c>
      <c r="CT124" s="99">
        <v>117</v>
      </c>
    </row>
    <row r="125" spans="1:98" x14ac:dyDescent="0.25">
      <c r="A125" s="1">
        <v>15</v>
      </c>
      <c r="B125" s="1">
        <v>6</v>
      </c>
      <c r="C125">
        <v>7</v>
      </c>
      <c r="D125">
        <v>8</v>
      </c>
      <c r="E125" s="61">
        <v>4608.3072535946667</v>
      </c>
      <c r="F125" s="61">
        <v>92.166145071893339</v>
      </c>
      <c r="G125">
        <v>58.7</v>
      </c>
      <c r="H125" s="100">
        <v>-342.89750800000002</v>
      </c>
      <c r="V125" s="64">
        <v>124</v>
      </c>
      <c r="W125" s="99">
        <v>3224.3324769999999</v>
      </c>
      <c r="X125" s="99">
        <v>4454.0790280000001</v>
      </c>
      <c r="Y125" s="100">
        <v>-1229.746551</v>
      </c>
      <c r="AM125" s="64">
        <v>124</v>
      </c>
      <c r="AN125" s="99">
        <v>2.6893400000000001</v>
      </c>
      <c r="AO125" s="99">
        <v>4.3254999999999999</v>
      </c>
      <c r="AP125" s="99">
        <v>2.5832999999999999</v>
      </c>
      <c r="AQ125" s="99">
        <v>117</v>
      </c>
      <c r="AS125" s="64">
        <v>124</v>
      </c>
      <c r="AT125" s="99">
        <v>5.1160899999999998</v>
      </c>
      <c r="AU125" s="99">
        <v>4.3254999999999999</v>
      </c>
      <c r="AV125" s="99">
        <v>2.5832999999999999</v>
      </c>
      <c r="AW125" s="99">
        <v>117</v>
      </c>
      <c r="BK125" s="64">
        <v>124</v>
      </c>
      <c r="BL125" s="99">
        <v>0.41415000000000002</v>
      </c>
      <c r="BM125" s="100">
        <v>-9.6170000000000005E-2</v>
      </c>
      <c r="BN125" s="99">
        <v>0.2094</v>
      </c>
      <c r="BO125" s="99">
        <v>133</v>
      </c>
      <c r="BQ125" s="64">
        <v>124</v>
      </c>
      <c r="BR125" s="99">
        <v>0.21786</v>
      </c>
      <c r="BS125" s="100">
        <v>-9.6170000000000005E-2</v>
      </c>
      <c r="BT125" s="99">
        <v>0.2094</v>
      </c>
      <c r="BU125" s="99">
        <v>133</v>
      </c>
      <c r="CJ125" s="64">
        <v>124</v>
      </c>
      <c r="CK125" s="99">
        <v>134.46700000000001</v>
      </c>
      <c r="CL125" s="99">
        <v>216.28</v>
      </c>
      <c r="CM125" s="99">
        <v>129.16999999999999</v>
      </c>
      <c r="CN125" s="99">
        <v>117</v>
      </c>
      <c r="CP125" s="64">
        <v>124</v>
      </c>
      <c r="CQ125" s="99">
        <v>255.80500000000001</v>
      </c>
      <c r="CR125" s="99">
        <v>216.28</v>
      </c>
      <c r="CS125" s="99">
        <v>129.16999999999999</v>
      </c>
      <c r="CT125" s="99">
        <v>117</v>
      </c>
    </row>
    <row r="126" spans="1:98" x14ac:dyDescent="0.25">
      <c r="A126" s="1">
        <v>16</v>
      </c>
      <c r="B126" s="1">
        <v>6</v>
      </c>
      <c r="C126">
        <v>6</v>
      </c>
      <c r="D126">
        <v>8</v>
      </c>
      <c r="E126" s="61">
        <v>4236.2520684392312</v>
      </c>
      <c r="F126" s="61">
        <v>84.725041368784616</v>
      </c>
      <c r="G126">
        <v>58.8</v>
      </c>
      <c r="H126" s="100">
        <v>-200.367808</v>
      </c>
      <c r="V126" s="64">
        <v>125</v>
      </c>
      <c r="W126" s="99">
        <v>4865.4363400000002</v>
      </c>
      <c r="X126" s="99">
        <v>4431.0640320000002</v>
      </c>
      <c r="Y126" s="99">
        <v>434.37230799999998</v>
      </c>
      <c r="AM126" s="64">
        <v>125</v>
      </c>
      <c r="AN126" s="99">
        <v>2.7621899999999999</v>
      </c>
      <c r="AO126" s="100">
        <v>-18.4864</v>
      </c>
      <c r="AP126" s="99">
        <v>2.6533000000000002</v>
      </c>
      <c r="AQ126" s="99">
        <v>117</v>
      </c>
      <c r="AS126" s="64">
        <v>125</v>
      </c>
      <c r="AT126" s="99">
        <v>5.2546799999999996</v>
      </c>
      <c r="AU126" s="100">
        <v>-18.4864</v>
      </c>
      <c r="AV126" s="99">
        <v>2.6533000000000002</v>
      </c>
      <c r="AW126" s="99">
        <v>117</v>
      </c>
      <c r="BK126" s="64">
        <v>125</v>
      </c>
      <c r="BL126" s="99">
        <v>0.40650999999999998</v>
      </c>
      <c r="BM126" s="99">
        <v>0.83389999999999997</v>
      </c>
      <c r="BN126" s="99">
        <v>0.20549999999999999</v>
      </c>
      <c r="BO126" s="99">
        <v>133</v>
      </c>
      <c r="BQ126" s="64">
        <v>125</v>
      </c>
      <c r="BR126" s="99">
        <v>0.21384</v>
      </c>
      <c r="BS126" s="99">
        <v>0.83389999999999997</v>
      </c>
      <c r="BT126" s="99">
        <v>0.20549999999999999</v>
      </c>
      <c r="BU126" s="99">
        <v>133</v>
      </c>
      <c r="CJ126" s="64">
        <v>125</v>
      </c>
      <c r="CK126" s="99">
        <v>138.11000000000001</v>
      </c>
      <c r="CL126" s="100">
        <v>-924.32</v>
      </c>
      <c r="CM126" s="99">
        <v>132.66</v>
      </c>
      <c r="CN126" s="99">
        <v>117</v>
      </c>
      <c r="CP126" s="64">
        <v>125</v>
      </c>
      <c r="CQ126" s="99">
        <v>262.73399999999998</v>
      </c>
      <c r="CR126" s="100">
        <v>-924.32</v>
      </c>
      <c r="CS126" s="99">
        <v>132.66</v>
      </c>
      <c r="CT126" s="99">
        <v>117</v>
      </c>
    </row>
    <row r="127" spans="1:98" x14ac:dyDescent="0.25">
      <c r="A127" s="1">
        <v>17</v>
      </c>
      <c r="B127" s="1">
        <v>5</v>
      </c>
      <c r="C127">
        <v>3</v>
      </c>
      <c r="D127">
        <v>8</v>
      </c>
      <c r="E127" s="61">
        <v>3832.2757651216962</v>
      </c>
      <c r="F127" s="61">
        <v>76.645515302433921</v>
      </c>
      <c r="G127">
        <v>58.4</v>
      </c>
      <c r="H127" s="100">
        <v>-364.26334600000001</v>
      </c>
      <c r="V127" s="64">
        <v>126</v>
      </c>
      <c r="W127" s="99">
        <v>4557.8383809999996</v>
      </c>
      <c r="X127" s="99">
        <v>4325.6354080000001</v>
      </c>
      <c r="Y127" s="99">
        <v>232.20297299999999</v>
      </c>
      <c r="AM127" s="64">
        <v>126</v>
      </c>
      <c r="AN127" s="99">
        <v>2.73245</v>
      </c>
      <c r="AO127" s="100">
        <v>-3.9601999999999999</v>
      </c>
      <c r="AP127" s="99">
        <v>2.6246999999999998</v>
      </c>
      <c r="AQ127" s="99">
        <v>117</v>
      </c>
      <c r="AS127" s="64">
        <v>126</v>
      </c>
      <c r="AT127" s="99">
        <v>5.1981099999999998</v>
      </c>
      <c r="AU127" s="100">
        <v>-3.9601999999999999</v>
      </c>
      <c r="AV127" s="99">
        <v>2.6246999999999998</v>
      </c>
      <c r="AW127" s="99">
        <v>117</v>
      </c>
      <c r="BK127" s="64">
        <v>126</v>
      </c>
      <c r="BL127" s="99">
        <v>0.40111000000000002</v>
      </c>
      <c r="BM127" s="100">
        <v>-0.58660000000000001</v>
      </c>
      <c r="BN127" s="99">
        <v>0.20280000000000001</v>
      </c>
      <c r="BO127" s="99">
        <v>133</v>
      </c>
      <c r="BQ127" s="64">
        <v>126</v>
      </c>
      <c r="BR127" s="99">
        <v>0.21099999999999999</v>
      </c>
      <c r="BS127" s="100">
        <v>-0.58660000000000001</v>
      </c>
      <c r="BT127" s="99">
        <v>0.20280000000000001</v>
      </c>
      <c r="BU127" s="99">
        <v>133</v>
      </c>
      <c r="CJ127" s="64">
        <v>126</v>
      </c>
      <c r="CK127" s="99">
        <v>136.62299999999999</v>
      </c>
      <c r="CL127" s="100">
        <v>-198.01</v>
      </c>
      <c r="CM127" s="99">
        <v>131.24</v>
      </c>
      <c r="CN127" s="99">
        <v>117</v>
      </c>
      <c r="CP127" s="64">
        <v>126</v>
      </c>
      <c r="CQ127" s="99">
        <v>259.90600000000001</v>
      </c>
      <c r="CR127" s="100">
        <v>-198.01</v>
      </c>
      <c r="CS127" s="99">
        <v>131.24</v>
      </c>
      <c r="CT127" s="99">
        <v>117</v>
      </c>
    </row>
    <row r="128" spans="1:98" x14ac:dyDescent="0.25">
      <c r="A128" s="1">
        <v>18</v>
      </c>
      <c r="B128" s="1">
        <v>7</v>
      </c>
      <c r="C128">
        <v>11</v>
      </c>
      <c r="D128">
        <v>8</v>
      </c>
      <c r="E128" s="61">
        <v>4857.9902000160655</v>
      </c>
      <c r="F128" s="61">
        <v>97.159804000321316</v>
      </c>
      <c r="G128">
        <v>58.6</v>
      </c>
      <c r="H128" s="100">
        <v>-77.094887999999997</v>
      </c>
      <c r="V128" s="64">
        <v>127</v>
      </c>
      <c r="W128" s="99">
        <v>4741.9003940000002</v>
      </c>
      <c r="X128" s="99">
        <v>4451.2026740000001</v>
      </c>
      <c r="Y128" s="99">
        <v>290.69772</v>
      </c>
      <c r="AM128" s="64">
        <v>127</v>
      </c>
      <c r="AN128" s="99">
        <v>2.7513299999999998</v>
      </c>
      <c r="AO128" s="100">
        <v>-2.3858999999999999</v>
      </c>
      <c r="AP128" s="99">
        <v>2.6427999999999998</v>
      </c>
      <c r="AQ128" s="99">
        <v>117</v>
      </c>
      <c r="AS128" s="64">
        <v>127</v>
      </c>
      <c r="AT128" s="99">
        <v>5.2340200000000001</v>
      </c>
      <c r="AU128" s="100">
        <v>-2.3858999999999999</v>
      </c>
      <c r="AV128" s="99">
        <v>2.6427999999999998</v>
      </c>
      <c r="AW128" s="99">
        <v>117</v>
      </c>
      <c r="BK128" s="64">
        <v>127</v>
      </c>
      <c r="BL128" s="99">
        <v>0.40310000000000001</v>
      </c>
      <c r="BM128" s="100">
        <v>-0.2019</v>
      </c>
      <c r="BN128" s="99">
        <v>0.20380000000000001</v>
      </c>
      <c r="BO128" s="99">
        <v>133</v>
      </c>
      <c r="BQ128" s="64">
        <v>127</v>
      </c>
      <c r="BR128" s="99">
        <v>0.21204999999999999</v>
      </c>
      <c r="BS128" s="100">
        <v>-0.2019</v>
      </c>
      <c r="BT128" s="99">
        <v>0.20380000000000001</v>
      </c>
      <c r="BU128" s="99">
        <v>133</v>
      </c>
      <c r="CJ128" s="64">
        <v>127</v>
      </c>
      <c r="CK128" s="99">
        <v>137.566</v>
      </c>
      <c r="CL128" s="100">
        <v>-119.3</v>
      </c>
      <c r="CM128" s="99">
        <v>132.13999999999999</v>
      </c>
      <c r="CN128" s="99">
        <v>117</v>
      </c>
      <c r="CP128" s="64">
        <v>127</v>
      </c>
      <c r="CQ128" s="99">
        <v>261.70100000000002</v>
      </c>
      <c r="CR128" s="100">
        <v>-119.3</v>
      </c>
      <c r="CS128" s="99">
        <v>132.13999999999999</v>
      </c>
      <c r="CT128" s="99">
        <v>117</v>
      </c>
    </row>
    <row r="129" spans="1:98" x14ac:dyDescent="0.25">
      <c r="A129" s="1">
        <v>19</v>
      </c>
      <c r="B129" s="1">
        <v>7</v>
      </c>
      <c r="C129">
        <v>12</v>
      </c>
      <c r="D129">
        <v>8</v>
      </c>
      <c r="E129" s="61">
        <v>4521.4426861595311</v>
      </c>
      <c r="F129" s="61">
        <v>90.428853723190628</v>
      </c>
      <c r="G129">
        <v>58.7</v>
      </c>
      <c r="H129" s="100">
        <v>-208.378837</v>
      </c>
      <c r="V129" s="64">
        <v>128</v>
      </c>
      <c r="W129" s="99">
        <v>4514.0097999999998</v>
      </c>
      <c r="X129" s="99">
        <v>4011.9563450000001</v>
      </c>
      <c r="Y129" s="99">
        <v>502.05345499999999</v>
      </c>
      <c r="AM129" s="64">
        <v>128</v>
      </c>
      <c r="AN129" s="99">
        <v>2.73332</v>
      </c>
      <c r="AO129" s="99">
        <v>3.2014</v>
      </c>
      <c r="AP129" s="99">
        <v>2.6255000000000002</v>
      </c>
      <c r="AQ129" s="99">
        <v>117</v>
      </c>
      <c r="AS129" s="64">
        <v>128</v>
      </c>
      <c r="AT129" s="99">
        <v>5.1997600000000004</v>
      </c>
      <c r="AU129" s="99">
        <v>3.2014</v>
      </c>
      <c r="AV129" s="99">
        <v>2.6255000000000002</v>
      </c>
      <c r="AW129" s="99">
        <v>117</v>
      </c>
      <c r="BK129" s="64">
        <v>128</v>
      </c>
      <c r="BL129" s="99">
        <v>0.40284999999999999</v>
      </c>
      <c r="BM129" s="100">
        <v>-0.2099</v>
      </c>
      <c r="BN129" s="99">
        <v>0.20369999999999999</v>
      </c>
      <c r="BO129" s="99">
        <v>133</v>
      </c>
      <c r="BQ129" s="64">
        <v>128</v>
      </c>
      <c r="BR129" s="99">
        <v>0.21190999999999999</v>
      </c>
      <c r="BS129" s="100">
        <v>-0.2099</v>
      </c>
      <c r="BT129" s="99">
        <v>0.20369999999999999</v>
      </c>
      <c r="BU129" s="99">
        <v>133</v>
      </c>
      <c r="CJ129" s="64">
        <v>128</v>
      </c>
      <c r="CK129" s="99">
        <v>136.666</v>
      </c>
      <c r="CL129" s="99">
        <v>160.07</v>
      </c>
      <c r="CM129" s="99">
        <v>131.28</v>
      </c>
      <c r="CN129" s="99">
        <v>117</v>
      </c>
      <c r="CP129" s="64">
        <v>128</v>
      </c>
      <c r="CQ129" s="99">
        <v>259.988</v>
      </c>
      <c r="CR129" s="99">
        <v>160.07</v>
      </c>
      <c r="CS129" s="99">
        <v>131.28</v>
      </c>
      <c r="CT129" s="99">
        <v>117</v>
      </c>
    </row>
    <row r="130" spans="1:98" x14ac:dyDescent="0.25">
      <c r="A130" s="1">
        <v>2</v>
      </c>
      <c r="B130" s="1">
        <v>5</v>
      </c>
      <c r="C130">
        <v>1</v>
      </c>
      <c r="D130">
        <v>9</v>
      </c>
      <c r="E130" s="61">
        <v>4074.3111093260491</v>
      </c>
      <c r="F130" s="61">
        <v>81.486222186520976</v>
      </c>
      <c r="G130">
        <v>57.7</v>
      </c>
      <c r="H130" s="100">
        <v>-216.60398499999999</v>
      </c>
      <c r="V130" s="64">
        <v>129</v>
      </c>
      <c r="W130" s="99">
        <v>3604.469998</v>
      </c>
      <c r="X130" s="99">
        <v>4265.4414020000004</v>
      </c>
      <c r="Y130" s="100">
        <v>-660.97140400000001</v>
      </c>
      <c r="AM130" s="64">
        <v>129</v>
      </c>
      <c r="AN130" s="99">
        <v>2.69977</v>
      </c>
      <c r="AO130" s="100">
        <v>-0.6593</v>
      </c>
      <c r="AP130" s="99">
        <v>2.5933000000000002</v>
      </c>
      <c r="AQ130" s="99">
        <v>117</v>
      </c>
      <c r="AS130" s="64">
        <v>129</v>
      </c>
      <c r="AT130" s="99">
        <v>5.1359500000000002</v>
      </c>
      <c r="AU130" s="100">
        <v>-0.6593</v>
      </c>
      <c r="AV130" s="99">
        <v>2.5933000000000002</v>
      </c>
      <c r="AW130" s="99">
        <v>117</v>
      </c>
      <c r="BK130" s="64">
        <v>129</v>
      </c>
      <c r="BL130" s="99">
        <v>0.40405999999999997</v>
      </c>
      <c r="BM130" s="100">
        <v>-0.91990000000000005</v>
      </c>
      <c r="BN130" s="99">
        <v>0.20430000000000001</v>
      </c>
      <c r="BO130" s="99">
        <v>133</v>
      </c>
      <c r="BQ130" s="64">
        <v>129</v>
      </c>
      <c r="BR130" s="99">
        <v>0.21254999999999999</v>
      </c>
      <c r="BS130" s="100">
        <v>-0.91990000000000005</v>
      </c>
      <c r="BT130" s="99">
        <v>0.20430000000000001</v>
      </c>
      <c r="BU130" s="99">
        <v>133</v>
      </c>
      <c r="CJ130" s="64">
        <v>129</v>
      </c>
      <c r="CK130" s="99">
        <v>134.989</v>
      </c>
      <c r="CL130" s="100">
        <v>-32.966000000000001</v>
      </c>
      <c r="CM130" s="99">
        <v>129.66999999999999</v>
      </c>
      <c r="CN130" s="99">
        <v>117</v>
      </c>
      <c r="CP130" s="64">
        <v>129</v>
      </c>
      <c r="CQ130" s="99">
        <v>256.79700000000003</v>
      </c>
      <c r="CR130" s="100">
        <v>-32.966000000000001</v>
      </c>
      <c r="CS130" s="99">
        <v>129.66999999999999</v>
      </c>
      <c r="CT130" s="99">
        <v>117</v>
      </c>
    </row>
    <row r="131" spans="1:98" x14ac:dyDescent="0.25">
      <c r="A131" s="1">
        <v>3</v>
      </c>
      <c r="B131" s="1">
        <v>6</v>
      </c>
      <c r="C131">
        <v>5</v>
      </c>
      <c r="D131">
        <v>9</v>
      </c>
      <c r="E131" s="61">
        <v>5232.9321230620935</v>
      </c>
      <c r="F131" s="61">
        <v>104.65864246124187</v>
      </c>
      <c r="G131">
        <v>58.2</v>
      </c>
      <c r="H131" s="99">
        <v>427.18223699999999</v>
      </c>
      <c r="V131" s="64">
        <v>130</v>
      </c>
      <c r="W131" s="99">
        <v>3832.2757649999999</v>
      </c>
      <c r="X131" s="99">
        <v>4196.539111</v>
      </c>
      <c r="Y131" s="100">
        <v>-364.26334600000001</v>
      </c>
      <c r="AM131" s="64">
        <v>130</v>
      </c>
      <c r="AN131" s="99">
        <v>2.7261600000000001</v>
      </c>
      <c r="AO131" s="100">
        <v>-14.917299999999999</v>
      </c>
      <c r="AP131" s="99">
        <v>2.6187</v>
      </c>
      <c r="AQ131" s="99">
        <v>117</v>
      </c>
      <c r="AS131" s="64">
        <v>130</v>
      </c>
      <c r="AT131" s="99">
        <v>5.1861300000000004</v>
      </c>
      <c r="AU131" s="100">
        <v>-14.917299999999999</v>
      </c>
      <c r="AV131" s="99">
        <v>2.6187</v>
      </c>
      <c r="AW131" s="99">
        <v>117</v>
      </c>
      <c r="BK131" s="64">
        <v>130</v>
      </c>
      <c r="BL131" s="99">
        <v>0.40958</v>
      </c>
      <c r="BM131" s="100">
        <v>-1.2169000000000001</v>
      </c>
      <c r="BN131" s="99">
        <v>0.20710000000000001</v>
      </c>
      <c r="BO131" s="99">
        <v>133</v>
      </c>
      <c r="BQ131" s="64">
        <v>130</v>
      </c>
      <c r="BR131" s="99">
        <v>0.21545</v>
      </c>
      <c r="BS131" s="100">
        <v>-1.2169000000000001</v>
      </c>
      <c r="BT131" s="99">
        <v>0.20710000000000001</v>
      </c>
      <c r="BU131" s="99">
        <v>133</v>
      </c>
      <c r="CJ131" s="64">
        <v>130</v>
      </c>
      <c r="CK131" s="99">
        <v>136.30799999999999</v>
      </c>
      <c r="CL131" s="100">
        <v>-745.86</v>
      </c>
      <c r="CM131" s="99">
        <v>130.93</v>
      </c>
      <c r="CN131" s="99">
        <v>117</v>
      </c>
      <c r="CP131" s="64">
        <v>130</v>
      </c>
      <c r="CQ131" s="99">
        <v>259.30700000000002</v>
      </c>
      <c r="CR131" s="100">
        <v>-745.86</v>
      </c>
      <c r="CS131" s="99">
        <v>130.93</v>
      </c>
      <c r="CT131" s="99">
        <v>117</v>
      </c>
    </row>
    <row r="132" spans="1:98" x14ac:dyDescent="0.25">
      <c r="A132" s="1">
        <v>4</v>
      </c>
      <c r="B132" s="1">
        <v>5</v>
      </c>
      <c r="C132">
        <v>4</v>
      </c>
      <c r="D132">
        <v>9</v>
      </c>
      <c r="E132" s="61">
        <v>5177.6546710579159</v>
      </c>
      <c r="F132" s="61">
        <v>103.55309342115832</v>
      </c>
      <c r="G132">
        <v>57.3</v>
      </c>
      <c r="H132" s="99">
        <v>245.55970300000001</v>
      </c>
      <c r="V132" s="64">
        <v>131</v>
      </c>
      <c r="W132" s="99">
        <v>4392.8039200000003</v>
      </c>
      <c r="X132" s="99">
        <v>4235.3964850000002</v>
      </c>
      <c r="Y132" s="99">
        <v>157.40743499999999</v>
      </c>
      <c r="AM132" s="64">
        <v>131</v>
      </c>
      <c r="AN132" s="99">
        <v>2.80314</v>
      </c>
      <c r="AO132" s="100">
        <v>-11.328799999999999</v>
      </c>
      <c r="AP132" s="99">
        <v>2.6926000000000001</v>
      </c>
      <c r="AQ132" s="99">
        <v>117</v>
      </c>
      <c r="AS132" s="64">
        <v>131</v>
      </c>
      <c r="AT132" s="99">
        <v>5.3325800000000001</v>
      </c>
      <c r="AU132" s="100">
        <v>-11.328799999999999</v>
      </c>
      <c r="AV132" s="99">
        <v>2.6926000000000001</v>
      </c>
      <c r="AW132" s="99">
        <v>117</v>
      </c>
      <c r="BK132" s="64">
        <v>131</v>
      </c>
      <c r="BL132" s="99">
        <v>0.40773999999999999</v>
      </c>
      <c r="BM132" s="100">
        <v>-1.0941000000000001</v>
      </c>
      <c r="BN132" s="99">
        <v>0.20610000000000001</v>
      </c>
      <c r="BO132" s="99">
        <v>133</v>
      </c>
      <c r="BQ132" s="64">
        <v>131</v>
      </c>
      <c r="BR132" s="99">
        <v>0.21448999999999999</v>
      </c>
      <c r="BS132" s="100">
        <v>-1.0941000000000001</v>
      </c>
      <c r="BT132" s="99">
        <v>0.20610000000000001</v>
      </c>
      <c r="BU132" s="99">
        <v>133</v>
      </c>
      <c r="CJ132" s="64">
        <v>131</v>
      </c>
      <c r="CK132" s="99">
        <v>140.15700000000001</v>
      </c>
      <c r="CL132" s="100">
        <v>-566.44000000000005</v>
      </c>
      <c r="CM132" s="99">
        <v>134.63</v>
      </c>
      <c r="CN132" s="99">
        <v>117</v>
      </c>
      <c r="CP132" s="64">
        <v>131</v>
      </c>
      <c r="CQ132" s="99">
        <v>266.62900000000002</v>
      </c>
      <c r="CR132" s="100">
        <v>-566.44000000000005</v>
      </c>
      <c r="CS132" s="99">
        <v>134.63</v>
      </c>
      <c r="CT132" s="99">
        <v>117</v>
      </c>
    </row>
    <row r="133" spans="1:98" x14ac:dyDescent="0.25">
      <c r="A133" s="1">
        <v>6</v>
      </c>
      <c r="B133" s="1">
        <v>5</v>
      </c>
      <c r="C133">
        <v>2</v>
      </c>
      <c r="D133">
        <v>9</v>
      </c>
      <c r="E133" s="61">
        <v>4549.891236243875</v>
      </c>
      <c r="F133" s="61">
        <v>90.997824724877503</v>
      </c>
      <c r="G133">
        <v>58.2</v>
      </c>
      <c r="H133" s="99">
        <v>156.95056700000001</v>
      </c>
      <c r="V133" s="64">
        <v>132</v>
      </c>
      <c r="W133" s="99">
        <v>4381.044903</v>
      </c>
      <c r="X133" s="99">
        <v>4252.8556360000002</v>
      </c>
      <c r="Y133" s="99">
        <v>128.189267</v>
      </c>
      <c r="AM133" s="64">
        <v>132</v>
      </c>
      <c r="AN133" s="99">
        <v>2.7132499999999999</v>
      </c>
      <c r="AO133" s="100">
        <v>-5.0659000000000001</v>
      </c>
      <c r="AP133" s="99">
        <v>2.6063000000000001</v>
      </c>
      <c r="AQ133" s="99">
        <v>117</v>
      </c>
      <c r="AS133" s="64">
        <v>132</v>
      </c>
      <c r="AT133" s="99">
        <v>5.1615799999999998</v>
      </c>
      <c r="AU133" s="100">
        <v>-5.0659000000000001</v>
      </c>
      <c r="AV133" s="99">
        <v>2.6063000000000001</v>
      </c>
      <c r="AW133" s="99">
        <v>117</v>
      </c>
      <c r="BK133" s="64">
        <v>132</v>
      </c>
      <c r="BL133" s="99">
        <v>0.40164</v>
      </c>
      <c r="BM133" s="100">
        <v>-1.0334000000000001</v>
      </c>
      <c r="BN133" s="99">
        <v>0.2031</v>
      </c>
      <c r="BO133" s="99">
        <v>133</v>
      </c>
      <c r="BQ133" s="64">
        <v>132</v>
      </c>
      <c r="BR133" s="99">
        <v>0.21128</v>
      </c>
      <c r="BS133" s="100">
        <v>-1.0334000000000001</v>
      </c>
      <c r="BT133" s="99">
        <v>0.2031</v>
      </c>
      <c r="BU133" s="99">
        <v>133</v>
      </c>
      <c r="CJ133" s="64">
        <v>132</v>
      </c>
      <c r="CK133" s="99">
        <v>135.66200000000001</v>
      </c>
      <c r="CL133" s="100">
        <v>-253.29</v>
      </c>
      <c r="CM133" s="99">
        <v>130.31</v>
      </c>
      <c r="CN133" s="99">
        <v>117</v>
      </c>
      <c r="CP133" s="64">
        <v>132</v>
      </c>
      <c r="CQ133" s="99">
        <v>258.07900000000001</v>
      </c>
      <c r="CR133" s="100">
        <v>-253.29</v>
      </c>
      <c r="CS133" s="99">
        <v>130.31</v>
      </c>
      <c r="CT133" s="99">
        <v>117</v>
      </c>
    </row>
    <row r="134" spans="1:98" x14ac:dyDescent="0.25">
      <c r="A134" s="1">
        <v>8</v>
      </c>
      <c r="B134" s="1">
        <v>7</v>
      </c>
      <c r="C134">
        <v>10</v>
      </c>
      <c r="D134">
        <v>9</v>
      </c>
      <c r="E134" s="61">
        <v>4258.0258655313692</v>
      </c>
      <c r="F134" s="61">
        <v>85.160517310627384</v>
      </c>
      <c r="G134">
        <v>57.9</v>
      </c>
      <c r="H134" s="100">
        <v>-56.884078000000002</v>
      </c>
      <c r="V134" s="64">
        <v>133</v>
      </c>
      <c r="W134" s="99">
        <v>4395.9795969999996</v>
      </c>
      <c r="X134" s="99">
        <v>4124.4120160000002</v>
      </c>
      <c r="Y134" s="99">
        <v>271.56758100000002</v>
      </c>
      <c r="AM134" s="64">
        <v>133</v>
      </c>
      <c r="AN134" s="99">
        <v>2.7081900000000001</v>
      </c>
      <c r="AO134" s="100">
        <v>-19.640499999999999</v>
      </c>
      <c r="AP134" s="99">
        <v>2.6013999999999999</v>
      </c>
      <c r="AQ134" s="99">
        <v>117</v>
      </c>
      <c r="AS134" s="64">
        <v>133</v>
      </c>
      <c r="AT134" s="99">
        <v>5.1519399999999997</v>
      </c>
      <c r="AU134" s="100">
        <v>-19.640499999999999</v>
      </c>
      <c r="AV134" s="99">
        <v>2.6013999999999999</v>
      </c>
      <c r="AW134" s="99">
        <v>117</v>
      </c>
      <c r="BK134" s="64">
        <v>133</v>
      </c>
      <c r="BL134" s="99">
        <v>0.40906999999999999</v>
      </c>
      <c r="BM134" s="100">
        <v>-1.0724</v>
      </c>
      <c r="BN134" s="99">
        <v>0.20680000000000001</v>
      </c>
      <c r="BO134" s="99">
        <v>133</v>
      </c>
      <c r="BQ134" s="64">
        <v>133</v>
      </c>
      <c r="BR134" s="99">
        <v>0.21518999999999999</v>
      </c>
      <c r="BS134" s="100">
        <v>-1.0724</v>
      </c>
      <c r="BT134" s="99">
        <v>0.20680000000000001</v>
      </c>
      <c r="BU134" s="99">
        <v>133</v>
      </c>
      <c r="CJ134" s="64">
        <v>133</v>
      </c>
      <c r="CK134" s="99">
        <v>135.40899999999999</v>
      </c>
      <c r="CL134" s="100">
        <v>-982.03</v>
      </c>
      <c r="CM134" s="99">
        <v>130.07</v>
      </c>
      <c r="CN134" s="99">
        <v>117</v>
      </c>
      <c r="CP134" s="64">
        <v>133</v>
      </c>
      <c r="CQ134" s="99">
        <v>257.59699999999998</v>
      </c>
      <c r="CR134" s="100">
        <v>-982.03</v>
      </c>
      <c r="CS134" s="99">
        <v>130.07</v>
      </c>
      <c r="CT134" s="99">
        <v>117</v>
      </c>
    </row>
    <row r="135" spans="1:98" x14ac:dyDescent="0.25">
      <c r="A135" s="1">
        <v>9</v>
      </c>
      <c r="B135" s="1">
        <v>7</v>
      </c>
      <c r="C135">
        <v>9</v>
      </c>
      <c r="D135">
        <v>9</v>
      </c>
      <c r="E135" s="61">
        <v>4392.5494417222271</v>
      </c>
      <c r="F135" s="61">
        <v>87.850988834444536</v>
      </c>
      <c r="G135">
        <v>57</v>
      </c>
      <c r="H135" s="99">
        <v>422.790233</v>
      </c>
      <c r="V135" s="64">
        <v>134</v>
      </c>
      <c r="W135" s="99">
        <v>4058.7693789999998</v>
      </c>
      <c r="X135" s="99">
        <v>4229.8406409999998</v>
      </c>
      <c r="Y135" s="100">
        <v>-171.07126199999999</v>
      </c>
      <c r="AM135" s="64">
        <v>134</v>
      </c>
      <c r="AN135" s="99">
        <v>2.7358699999999998</v>
      </c>
      <c r="AO135" s="100">
        <v>-18.238099999999999</v>
      </c>
      <c r="AP135" s="99">
        <v>2.6280000000000001</v>
      </c>
      <c r="AQ135" s="99">
        <v>117</v>
      </c>
      <c r="AS135" s="64">
        <v>134</v>
      </c>
      <c r="AT135" s="99">
        <v>5.2046200000000002</v>
      </c>
      <c r="AU135" s="100">
        <v>-18.238099999999999</v>
      </c>
      <c r="AV135" s="99">
        <v>2.6280000000000001</v>
      </c>
      <c r="AW135" s="99">
        <v>117</v>
      </c>
      <c r="BK135" s="64">
        <v>134</v>
      </c>
      <c r="BL135" s="99">
        <v>0.41324</v>
      </c>
      <c r="BM135" s="100">
        <v>-1.2312000000000001</v>
      </c>
      <c r="BN135" s="99">
        <v>0.2089</v>
      </c>
      <c r="BO135" s="99">
        <v>133</v>
      </c>
      <c r="BQ135" s="64">
        <v>134</v>
      </c>
      <c r="BR135" s="99">
        <v>0.21737999999999999</v>
      </c>
      <c r="BS135" s="100">
        <v>-1.2312000000000001</v>
      </c>
      <c r="BT135" s="99">
        <v>0.2089</v>
      </c>
      <c r="BU135" s="99">
        <v>133</v>
      </c>
      <c r="CJ135" s="64">
        <v>134</v>
      </c>
      <c r="CK135" s="99">
        <v>136.79400000000001</v>
      </c>
      <c r="CL135" s="100">
        <v>-911.91</v>
      </c>
      <c r="CM135" s="99">
        <v>131.4</v>
      </c>
      <c r="CN135" s="99">
        <v>117</v>
      </c>
      <c r="CP135" s="64">
        <v>134</v>
      </c>
      <c r="CQ135" s="99">
        <v>260.23099999999999</v>
      </c>
      <c r="CR135" s="100">
        <v>-911.91</v>
      </c>
      <c r="CS135" s="99">
        <v>131.4</v>
      </c>
      <c r="CT135" s="99">
        <v>117</v>
      </c>
    </row>
    <row r="136" spans="1:98" x14ac:dyDescent="0.25">
      <c r="A136" s="1">
        <v>10</v>
      </c>
      <c r="B136" s="1">
        <v>8</v>
      </c>
      <c r="C136">
        <v>14</v>
      </c>
      <c r="D136">
        <v>9</v>
      </c>
      <c r="E136" s="61">
        <v>4879.5651859587106</v>
      </c>
      <c r="F136" s="61">
        <v>97.591303719174206</v>
      </c>
      <c r="G136">
        <v>57</v>
      </c>
      <c r="H136" s="99">
        <v>109.625164</v>
      </c>
      <c r="V136" s="64">
        <v>135</v>
      </c>
      <c r="W136" s="99">
        <v>4471.0824970000003</v>
      </c>
      <c r="X136" s="99">
        <v>4249.9792829999997</v>
      </c>
      <c r="Y136" s="99">
        <v>221.10321400000001</v>
      </c>
      <c r="AM136" s="64">
        <v>135</v>
      </c>
      <c r="AN136" s="99">
        <v>2.6350799999999999</v>
      </c>
      <c r="AO136" s="100">
        <v>-2.9910999999999999</v>
      </c>
      <c r="AP136" s="99">
        <v>2.5312000000000001</v>
      </c>
      <c r="AQ136" s="99">
        <v>117</v>
      </c>
      <c r="AS136" s="64">
        <v>135</v>
      </c>
      <c r="AT136" s="99">
        <v>5.0128599999999999</v>
      </c>
      <c r="AU136" s="100">
        <v>-2.9910999999999999</v>
      </c>
      <c r="AV136" s="99">
        <v>2.5312000000000001</v>
      </c>
      <c r="AW136" s="99">
        <v>117</v>
      </c>
      <c r="BK136" s="64">
        <v>135</v>
      </c>
      <c r="BL136" s="99">
        <v>0.40493000000000001</v>
      </c>
      <c r="BM136" s="100">
        <v>-1.0464</v>
      </c>
      <c r="BN136" s="99">
        <v>0.20469999999999999</v>
      </c>
      <c r="BO136" s="99">
        <v>133</v>
      </c>
      <c r="BQ136" s="64">
        <v>135</v>
      </c>
      <c r="BR136" s="99">
        <v>0.21301</v>
      </c>
      <c r="BS136" s="100">
        <v>-1.0464</v>
      </c>
      <c r="BT136" s="99">
        <v>0.20469999999999999</v>
      </c>
      <c r="BU136" s="99">
        <v>133</v>
      </c>
      <c r="CJ136" s="64">
        <v>135</v>
      </c>
      <c r="CK136" s="99">
        <v>131.75399999999999</v>
      </c>
      <c r="CL136" s="100">
        <v>-149.55000000000001</v>
      </c>
      <c r="CM136" s="99">
        <v>126.56</v>
      </c>
      <c r="CN136" s="99">
        <v>117</v>
      </c>
      <c r="CP136" s="64">
        <v>135</v>
      </c>
      <c r="CQ136" s="99">
        <v>250.643</v>
      </c>
      <c r="CR136" s="100">
        <v>-149.55000000000001</v>
      </c>
      <c r="CS136" s="99">
        <v>126.56</v>
      </c>
      <c r="CT136" s="99">
        <v>117</v>
      </c>
    </row>
    <row r="137" spans="1:98" x14ac:dyDescent="0.25">
      <c r="A137" s="1">
        <v>11</v>
      </c>
      <c r="B137" s="1">
        <v>6</v>
      </c>
      <c r="C137">
        <v>8</v>
      </c>
      <c r="D137">
        <v>9</v>
      </c>
      <c r="E137" s="61">
        <v>4141.7982167242353</v>
      </c>
      <c r="F137" s="61">
        <v>82.8359643344847</v>
      </c>
      <c r="G137">
        <v>57.6</v>
      </c>
      <c r="H137" s="100">
        <v>-150.272075</v>
      </c>
      <c r="V137" s="64">
        <v>136</v>
      </c>
      <c r="W137" s="99">
        <v>4228.7714679999999</v>
      </c>
      <c r="X137" s="99">
        <v>3810.7329540000001</v>
      </c>
      <c r="Y137" s="99">
        <v>418.03851400000002</v>
      </c>
      <c r="AM137" s="64">
        <v>136</v>
      </c>
      <c r="AN137" s="99">
        <v>2.72445</v>
      </c>
      <c r="AO137" s="99">
        <v>14.526199999999999</v>
      </c>
      <c r="AP137" s="99">
        <v>2.617</v>
      </c>
      <c r="AQ137" s="99">
        <v>117</v>
      </c>
      <c r="AS137" s="64">
        <v>136</v>
      </c>
      <c r="AT137" s="99">
        <v>5.1828900000000004</v>
      </c>
      <c r="AU137" s="99">
        <v>14.526199999999999</v>
      </c>
      <c r="AV137" s="99">
        <v>2.617</v>
      </c>
      <c r="AW137" s="99">
        <v>117</v>
      </c>
      <c r="BK137" s="64">
        <v>136</v>
      </c>
      <c r="BL137" s="99">
        <v>0.40323999999999999</v>
      </c>
      <c r="BM137" s="100">
        <v>-1.4205000000000001</v>
      </c>
      <c r="BN137" s="99">
        <v>0.2039</v>
      </c>
      <c r="BO137" s="99">
        <v>133</v>
      </c>
      <c r="BQ137" s="64">
        <v>136</v>
      </c>
      <c r="BR137" s="99">
        <v>0.21212</v>
      </c>
      <c r="BS137" s="100">
        <v>-1.4205000000000001</v>
      </c>
      <c r="BT137" s="99">
        <v>0.2039</v>
      </c>
      <c r="BU137" s="99">
        <v>133</v>
      </c>
      <c r="CJ137" s="64">
        <v>136</v>
      </c>
      <c r="CK137" s="99">
        <v>136.22300000000001</v>
      </c>
      <c r="CL137" s="99">
        <v>726.31</v>
      </c>
      <c r="CM137" s="99">
        <v>130.85</v>
      </c>
      <c r="CN137" s="99">
        <v>117</v>
      </c>
      <c r="CP137" s="64">
        <v>136</v>
      </c>
      <c r="CQ137" s="99">
        <v>259.14499999999998</v>
      </c>
      <c r="CR137" s="99">
        <v>726.31</v>
      </c>
      <c r="CS137" s="99">
        <v>130.85</v>
      </c>
      <c r="CT137" s="99">
        <v>117</v>
      </c>
    </row>
    <row r="138" spans="1:98" x14ac:dyDescent="0.25">
      <c r="A138" s="1">
        <v>13</v>
      </c>
      <c r="B138" s="1">
        <v>6</v>
      </c>
      <c r="C138">
        <v>6</v>
      </c>
      <c r="D138">
        <v>9</v>
      </c>
      <c r="E138" s="61">
        <v>3710.7385332155186</v>
      </c>
      <c r="F138" s="61">
        <v>74.214770664310379</v>
      </c>
      <c r="G138">
        <v>57.6</v>
      </c>
      <c r="H138" s="100">
        <v>-112.64404500000001</v>
      </c>
      <c r="V138" s="64">
        <v>137</v>
      </c>
      <c r="W138" s="99">
        <v>4695.6542689999997</v>
      </c>
      <c r="X138" s="99">
        <v>4901.7835580000001</v>
      </c>
      <c r="Y138" s="100">
        <v>-206.129289</v>
      </c>
      <c r="AM138" s="64">
        <v>137</v>
      </c>
      <c r="AN138" s="99">
        <v>2.72099</v>
      </c>
      <c r="AO138" s="99">
        <v>16.1005</v>
      </c>
      <c r="AP138" s="99">
        <v>2.6137000000000001</v>
      </c>
      <c r="AQ138" s="99">
        <v>117</v>
      </c>
      <c r="AS138" s="64">
        <v>137</v>
      </c>
      <c r="AT138" s="99">
        <v>5.17631</v>
      </c>
      <c r="AU138" s="99">
        <v>16.1005</v>
      </c>
      <c r="AV138" s="99">
        <v>2.6137000000000001</v>
      </c>
      <c r="AW138" s="99">
        <v>117</v>
      </c>
      <c r="BK138" s="64">
        <v>137</v>
      </c>
      <c r="BL138" s="99">
        <v>0.39850000000000002</v>
      </c>
      <c r="BM138" s="100">
        <v>-1.0358000000000001</v>
      </c>
      <c r="BN138" s="99">
        <v>0.20150000000000001</v>
      </c>
      <c r="BO138" s="99">
        <v>133</v>
      </c>
      <c r="BQ138" s="64">
        <v>137</v>
      </c>
      <c r="BR138" s="99">
        <v>0.20963000000000001</v>
      </c>
      <c r="BS138" s="100">
        <v>-1.0358000000000001</v>
      </c>
      <c r="BT138" s="99">
        <v>0.20150000000000001</v>
      </c>
      <c r="BU138" s="99">
        <v>133</v>
      </c>
      <c r="CJ138" s="64">
        <v>137</v>
      </c>
      <c r="CK138" s="99">
        <v>136.05000000000001</v>
      </c>
      <c r="CL138" s="99">
        <v>805.02</v>
      </c>
      <c r="CM138" s="99">
        <v>130.69</v>
      </c>
      <c r="CN138" s="99">
        <v>117</v>
      </c>
      <c r="CP138" s="64">
        <v>137</v>
      </c>
      <c r="CQ138" s="99">
        <v>258.815</v>
      </c>
      <c r="CR138" s="99">
        <v>805.02</v>
      </c>
      <c r="CS138" s="99">
        <v>130.69</v>
      </c>
      <c r="CT138" s="99">
        <v>117</v>
      </c>
    </row>
    <row r="139" spans="1:98" x14ac:dyDescent="0.25">
      <c r="A139" s="1">
        <v>14</v>
      </c>
      <c r="B139" s="1">
        <v>8</v>
      </c>
      <c r="C139">
        <v>16</v>
      </c>
      <c r="D139">
        <v>9</v>
      </c>
      <c r="E139" s="61">
        <v>3482.1057113021125</v>
      </c>
      <c r="F139" s="61">
        <v>69.642114226042253</v>
      </c>
      <c r="G139">
        <v>58.1</v>
      </c>
      <c r="H139" s="100">
        <v>-517.56304499999999</v>
      </c>
      <c r="V139" s="64">
        <v>138</v>
      </c>
      <c r="W139" s="99">
        <v>4058.514901</v>
      </c>
      <c r="X139" s="99">
        <v>4970.6858490000004</v>
      </c>
      <c r="Y139" s="100">
        <v>-912.17094799999995</v>
      </c>
      <c r="AM139" s="64">
        <v>138</v>
      </c>
      <c r="AN139" s="99">
        <v>2.8336399999999999</v>
      </c>
      <c r="AO139" s="99">
        <v>21.687799999999999</v>
      </c>
      <c r="AP139" s="99">
        <v>2.7219000000000002</v>
      </c>
      <c r="AQ139" s="99">
        <v>117</v>
      </c>
      <c r="AS139" s="64">
        <v>138</v>
      </c>
      <c r="AT139" s="99">
        <v>5.3906000000000001</v>
      </c>
      <c r="AU139" s="99">
        <v>21.687799999999999</v>
      </c>
      <c r="AV139" s="99">
        <v>2.7219000000000002</v>
      </c>
      <c r="AW139" s="99">
        <v>117</v>
      </c>
      <c r="BK139" s="64">
        <v>138</v>
      </c>
      <c r="BL139" s="99">
        <v>0.40758</v>
      </c>
      <c r="BM139" s="100">
        <v>-1.0438000000000001</v>
      </c>
      <c r="BN139" s="99">
        <v>0.20610000000000001</v>
      </c>
      <c r="BO139" s="99">
        <v>133</v>
      </c>
      <c r="BQ139" s="64">
        <v>138</v>
      </c>
      <c r="BR139" s="99">
        <v>0.21440000000000001</v>
      </c>
      <c r="BS139" s="100">
        <v>-1.0438000000000001</v>
      </c>
      <c r="BT139" s="99">
        <v>0.20610000000000001</v>
      </c>
      <c r="BU139" s="99">
        <v>133</v>
      </c>
      <c r="CJ139" s="64">
        <v>138</v>
      </c>
      <c r="CK139" s="99">
        <v>141.68199999999999</v>
      </c>
      <c r="CL139" s="99">
        <v>1084.3900000000001</v>
      </c>
      <c r="CM139" s="99">
        <v>136.1</v>
      </c>
      <c r="CN139" s="99">
        <v>117</v>
      </c>
      <c r="CP139" s="64">
        <v>138</v>
      </c>
      <c r="CQ139" s="99">
        <v>269.52999999999997</v>
      </c>
      <c r="CR139" s="99">
        <v>1084.3900000000001</v>
      </c>
      <c r="CS139" s="99">
        <v>136.1</v>
      </c>
      <c r="CT139" s="99">
        <v>117</v>
      </c>
    </row>
    <row r="140" spans="1:98" x14ac:dyDescent="0.25">
      <c r="A140" s="1">
        <v>15</v>
      </c>
      <c r="B140" s="1">
        <v>7</v>
      </c>
      <c r="C140">
        <v>11</v>
      </c>
      <c r="D140">
        <v>9</v>
      </c>
      <c r="E140" s="61">
        <v>4541.1965619728489</v>
      </c>
      <c r="F140" s="61">
        <v>90.823931239456982</v>
      </c>
      <c r="G140">
        <v>58.8</v>
      </c>
      <c r="H140" s="100">
        <v>-404.45235700000001</v>
      </c>
      <c r="V140" s="64">
        <v>139</v>
      </c>
      <c r="W140" s="99">
        <v>5330.3416340000003</v>
      </c>
      <c r="X140" s="99">
        <v>4958.1000839999997</v>
      </c>
      <c r="Y140" s="99">
        <v>372.24155000000002</v>
      </c>
      <c r="AM140" s="64">
        <v>139</v>
      </c>
      <c r="AN140" s="99">
        <v>2.6899700000000002</v>
      </c>
      <c r="AO140" s="99">
        <v>17.827100000000002</v>
      </c>
      <c r="AP140" s="99">
        <v>2.5838999999999999</v>
      </c>
      <c r="AQ140" s="99">
        <v>117</v>
      </c>
      <c r="AS140" s="64">
        <v>139</v>
      </c>
      <c r="AT140" s="99">
        <v>5.1173000000000002</v>
      </c>
      <c r="AU140" s="99">
        <v>17.827100000000002</v>
      </c>
      <c r="AV140" s="99">
        <v>2.5838999999999999</v>
      </c>
      <c r="AW140" s="99">
        <v>117</v>
      </c>
      <c r="BK140" s="64">
        <v>139</v>
      </c>
      <c r="BL140" s="99">
        <v>0.40389000000000003</v>
      </c>
      <c r="BM140" s="100">
        <v>-1.7538</v>
      </c>
      <c r="BN140" s="99">
        <v>0.20419999999999999</v>
      </c>
      <c r="BO140" s="99">
        <v>133</v>
      </c>
      <c r="BQ140" s="64">
        <v>139</v>
      </c>
      <c r="BR140" s="99">
        <v>0.21246000000000001</v>
      </c>
      <c r="BS140" s="100">
        <v>-1.7538</v>
      </c>
      <c r="BT140" s="99">
        <v>0.20419999999999999</v>
      </c>
      <c r="BU140" s="99">
        <v>133</v>
      </c>
      <c r="CJ140" s="64">
        <v>139</v>
      </c>
      <c r="CK140" s="99">
        <v>134.499</v>
      </c>
      <c r="CL140" s="99">
        <v>891.35</v>
      </c>
      <c r="CM140" s="99">
        <v>129.19999999999999</v>
      </c>
      <c r="CN140" s="99">
        <v>117</v>
      </c>
      <c r="CP140" s="64">
        <v>139</v>
      </c>
      <c r="CQ140" s="99">
        <v>255.86500000000001</v>
      </c>
      <c r="CR140" s="99">
        <v>891.35</v>
      </c>
      <c r="CS140" s="99">
        <v>129.19999999999999</v>
      </c>
      <c r="CT140" s="99">
        <v>117</v>
      </c>
    </row>
    <row r="141" spans="1:98" x14ac:dyDescent="0.25">
      <c r="A141" s="1">
        <v>16</v>
      </c>
      <c r="B141" s="1">
        <v>5</v>
      </c>
      <c r="C141">
        <v>3</v>
      </c>
      <c r="D141">
        <v>9</v>
      </c>
      <c r="E141" s="61">
        <v>3968.1751144670261</v>
      </c>
      <c r="F141" s="61">
        <v>79.363502289340516</v>
      </c>
      <c r="G141">
        <v>57.2</v>
      </c>
      <c r="H141" s="100">
        <v>-429.58738799999998</v>
      </c>
      <c r="V141" s="64">
        <v>140</v>
      </c>
      <c r="W141" s="99">
        <v>5352.9504379999998</v>
      </c>
      <c r="X141" s="99">
        <v>4940.6409320000002</v>
      </c>
      <c r="Y141" s="99">
        <v>412.309506</v>
      </c>
      <c r="AM141" s="64">
        <v>140</v>
      </c>
      <c r="AN141" s="99">
        <v>2.7131500000000002</v>
      </c>
      <c r="AO141" s="99">
        <v>3.5691000000000002</v>
      </c>
      <c r="AP141" s="99">
        <v>2.6061999999999999</v>
      </c>
      <c r="AQ141" s="99">
        <v>117</v>
      </c>
      <c r="AS141" s="64">
        <v>140</v>
      </c>
      <c r="AT141" s="99">
        <v>5.1613800000000003</v>
      </c>
      <c r="AU141" s="99">
        <v>3.5691000000000002</v>
      </c>
      <c r="AV141" s="99">
        <v>2.6061999999999999</v>
      </c>
      <c r="AW141" s="99">
        <v>117</v>
      </c>
      <c r="BK141" s="64">
        <v>140</v>
      </c>
      <c r="BL141" s="99">
        <v>0.39756000000000002</v>
      </c>
      <c r="BM141" s="100">
        <v>-2.0508000000000002</v>
      </c>
      <c r="BN141" s="99">
        <v>0.20100000000000001</v>
      </c>
      <c r="BO141" s="99">
        <v>133</v>
      </c>
      <c r="BQ141" s="64">
        <v>140</v>
      </c>
      <c r="BR141" s="99">
        <v>0.20913000000000001</v>
      </c>
      <c r="BS141" s="100">
        <v>-2.0508000000000002</v>
      </c>
      <c r="BT141" s="99">
        <v>0.20100000000000001</v>
      </c>
      <c r="BU141" s="99">
        <v>133</v>
      </c>
      <c r="CJ141" s="64">
        <v>140</v>
      </c>
      <c r="CK141" s="99">
        <v>135.65700000000001</v>
      </c>
      <c r="CL141" s="99">
        <v>178.46</v>
      </c>
      <c r="CM141" s="99">
        <v>130.31</v>
      </c>
      <c r="CN141" s="99">
        <v>117</v>
      </c>
      <c r="CP141" s="64">
        <v>140</v>
      </c>
      <c r="CQ141" s="99">
        <v>258.06900000000002</v>
      </c>
      <c r="CR141" s="99">
        <v>178.46</v>
      </c>
      <c r="CS141" s="99">
        <v>130.31</v>
      </c>
      <c r="CT141" s="99">
        <v>117</v>
      </c>
    </row>
    <row r="142" spans="1:98" x14ac:dyDescent="0.25">
      <c r="A142" s="1">
        <v>17</v>
      </c>
      <c r="B142" s="1">
        <v>8</v>
      </c>
      <c r="C142">
        <v>13</v>
      </c>
      <c r="D142">
        <v>9</v>
      </c>
      <c r="E142" s="61">
        <v>4471.0824965860711</v>
      </c>
      <c r="F142" s="61">
        <v>89.421649931721419</v>
      </c>
      <c r="G142">
        <v>58.3</v>
      </c>
      <c r="H142" s="99">
        <v>221.10321400000001</v>
      </c>
      <c r="V142" s="64">
        <v>141</v>
      </c>
      <c r="W142" s="99">
        <v>5144.0131739999997</v>
      </c>
      <c r="X142" s="99">
        <v>4829.6564630000003</v>
      </c>
      <c r="Y142" s="99">
        <v>314.35671100000002</v>
      </c>
      <c r="AM142" s="64">
        <v>141</v>
      </c>
      <c r="AN142" s="99">
        <v>2.6855899999999999</v>
      </c>
      <c r="AO142" s="99">
        <v>7.1576000000000004</v>
      </c>
      <c r="AP142" s="99">
        <v>2.5796999999999999</v>
      </c>
      <c r="AQ142" s="99">
        <v>117</v>
      </c>
      <c r="AS142" s="64">
        <v>141</v>
      </c>
      <c r="AT142" s="99">
        <v>5.1089599999999997</v>
      </c>
      <c r="AU142" s="99">
        <v>7.1576000000000004</v>
      </c>
      <c r="AV142" s="99">
        <v>2.5796999999999999</v>
      </c>
      <c r="AW142" s="99">
        <v>117</v>
      </c>
      <c r="BK142" s="64">
        <v>141</v>
      </c>
      <c r="BL142" s="99">
        <v>0.40367999999999998</v>
      </c>
      <c r="BM142" s="100">
        <v>-1.9279999999999999</v>
      </c>
      <c r="BN142" s="99">
        <v>0.2041</v>
      </c>
      <c r="BO142" s="99">
        <v>133</v>
      </c>
      <c r="BQ142" s="64">
        <v>141</v>
      </c>
      <c r="BR142" s="99">
        <v>0.21235000000000001</v>
      </c>
      <c r="BS142" s="100">
        <v>-1.9279999999999999</v>
      </c>
      <c r="BT142" s="99">
        <v>0.2041</v>
      </c>
      <c r="BU142" s="99">
        <v>133</v>
      </c>
      <c r="CJ142" s="64">
        <v>141</v>
      </c>
      <c r="CK142" s="99">
        <v>134.28</v>
      </c>
      <c r="CL142" s="99">
        <v>357.88</v>
      </c>
      <c r="CM142" s="99">
        <v>128.99</v>
      </c>
      <c r="CN142" s="99">
        <v>117</v>
      </c>
      <c r="CP142" s="64">
        <v>141</v>
      </c>
      <c r="CQ142" s="99">
        <v>255.44800000000001</v>
      </c>
      <c r="CR142" s="99">
        <v>357.88</v>
      </c>
      <c r="CS142" s="99">
        <v>128.99</v>
      </c>
      <c r="CT142" s="99">
        <v>117</v>
      </c>
    </row>
    <row r="143" spans="1:98" x14ac:dyDescent="0.25">
      <c r="A143" s="1">
        <v>18</v>
      </c>
      <c r="B143" s="1">
        <v>8</v>
      </c>
      <c r="C143">
        <v>15</v>
      </c>
      <c r="D143">
        <v>9</v>
      </c>
      <c r="E143" s="61">
        <v>5065.9996786890515</v>
      </c>
      <c r="F143" s="61">
        <v>101.31999357378103</v>
      </c>
      <c r="G143">
        <v>57.4</v>
      </c>
      <c r="H143" s="99">
        <v>110.775949</v>
      </c>
      <c r="V143" s="64">
        <v>142</v>
      </c>
      <c r="W143" s="99">
        <v>4857.9902000000002</v>
      </c>
      <c r="X143" s="99">
        <v>4935.0850879999998</v>
      </c>
      <c r="Y143" s="100">
        <v>-77.094887999999997</v>
      </c>
      <c r="AM143" s="64">
        <v>142</v>
      </c>
      <c r="AN143" s="99">
        <v>2.7271399999999999</v>
      </c>
      <c r="AO143" s="99">
        <v>13.420500000000001</v>
      </c>
      <c r="AP143" s="99">
        <v>2.6196000000000002</v>
      </c>
      <c r="AQ143" s="99">
        <v>117</v>
      </c>
      <c r="AS143" s="64">
        <v>142</v>
      </c>
      <c r="AT143" s="99">
        <v>5.1879999999999997</v>
      </c>
      <c r="AU143" s="99">
        <v>13.420500000000001</v>
      </c>
      <c r="AV143" s="99">
        <v>2.6196000000000002</v>
      </c>
      <c r="AW143" s="99">
        <v>117</v>
      </c>
      <c r="BK143" s="64">
        <v>142</v>
      </c>
      <c r="BL143" s="99">
        <v>0.40150000000000002</v>
      </c>
      <c r="BM143" s="100">
        <v>-1.8673999999999999</v>
      </c>
      <c r="BN143" s="99">
        <v>0.20300000000000001</v>
      </c>
      <c r="BO143" s="99">
        <v>133</v>
      </c>
      <c r="BQ143" s="64">
        <v>142</v>
      </c>
      <c r="BR143" s="99">
        <v>0.21121000000000001</v>
      </c>
      <c r="BS143" s="100">
        <v>-1.8673999999999999</v>
      </c>
      <c r="BT143" s="99">
        <v>0.20300000000000001</v>
      </c>
      <c r="BU143" s="99">
        <v>133</v>
      </c>
      <c r="CJ143" s="64">
        <v>142</v>
      </c>
      <c r="CK143" s="99">
        <v>136.357</v>
      </c>
      <c r="CL143" s="99">
        <v>671.03</v>
      </c>
      <c r="CM143" s="99">
        <v>130.97999999999999</v>
      </c>
      <c r="CN143" s="99">
        <v>117</v>
      </c>
      <c r="CP143" s="64">
        <v>142</v>
      </c>
      <c r="CQ143" s="99">
        <v>259.39999999999998</v>
      </c>
      <c r="CR143" s="99">
        <v>671.03</v>
      </c>
      <c r="CS143" s="99">
        <v>130.97999999999999</v>
      </c>
      <c r="CT143" s="99">
        <v>117</v>
      </c>
    </row>
    <row r="144" spans="1:98" x14ac:dyDescent="0.25">
      <c r="A144" s="1">
        <v>19</v>
      </c>
      <c r="B144" s="1">
        <v>6</v>
      </c>
      <c r="C144">
        <v>7</v>
      </c>
      <c r="D144">
        <v>9</v>
      </c>
      <c r="E144" s="61">
        <v>5007.7029480279534</v>
      </c>
      <c r="F144" s="61">
        <v>100.15405896055907</v>
      </c>
      <c r="G144">
        <v>58.4</v>
      </c>
      <c r="H144" s="99">
        <v>272.325581</v>
      </c>
      <c r="V144" s="64">
        <v>143</v>
      </c>
      <c r="W144" s="99">
        <v>4501.6888099999996</v>
      </c>
      <c r="X144" s="99">
        <v>4515.9774010000001</v>
      </c>
      <c r="Y144" s="100">
        <v>-14.288591</v>
      </c>
      <c r="AM144" s="64">
        <v>143</v>
      </c>
      <c r="AN144" s="99">
        <v>2.7274699999999998</v>
      </c>
      <c r="AO144" s="100">
        <v>-1.1540999999999999</v>
      </c>
      <c r="AP144" s="99">
        <v>2.6198999999999999</v>
      </c>
      <c r="AQ144" s="99">
        <v>117</v>
      </c>
      <c r="AS144" s="64">
        <v>143</v>
      </c>
      <c r="AT144" s="99">
        <v>5.1886400000000004</v>
      </c>
      <c r="AU144" s="100">
        <v>-1.1540999999999999</v>
      </c>
      <c r="AV144" s="99">
        <v>2.6198999999999999</v>
      </c>
      <c r="AW144" s="99">
        <v>117</v>
      </c>
      <c r="BK144" s="64">
        <v>143</v>
      </c>
      <c r="BL144" s="99">
        <v>0.39994000000000002</v>
      </c>
      <c r="BM144" s="100">
        <v>-1.9064000000000001</v>
      </c>
      <c r="BN144" s="99">
        <v>0.20219999999999999</v>
      </c>
      <c r="BO144" s="99">
        <v>133</v>
      </c>
      <c r="BQ144" s="64">
        <v>143</v>
      </c>
      <c r="BR144" s="99">
        <v>0.21038999999999999</v>
      </c>
      <c r="BS144" s="100">
        <v>-1.9064000000000001</v>
      </c>
      <c r="BT144" s="99">
        <v>0.20219999999999999</v>
      </c>
      <c r="BU144" s="99">
        <v>133</v>
      </c>
      <c r="CJ144" s="64">
        <v>143</v>
      </c>
      <c r="CK144" s="99">
        <v>136.374</v>
      </c>
      <c r="CL144" s="100">
        <v>-57.706099999999999</v>
      </c>
      <c r="CM144" s="99">
        <v>131</v>
      </c>
      <c r="CN144" s="99">
        <v>117</v>
      </c>
      <c r="CP144" s="64">
        <v>143</v>
      </c>
      <c r="CQ144" s="99">
        <v>259.43200000000002</v>
      </c>
      <c r="CR144" s="100">
        <v>-57.706099999999999</v>
      </c>
      <c r="CS144" s="99">
        <v>131</v>
      </c>
      <c r="CT144" s="99">
        <v>117</v>
      </c>
    </row>
    <row r="145" spans="1:98" x14ac:dyDescent="0.25">
      <c r="A145" s="1">
        <v>20</v>
      </c>
      <c r="B145" s="1">
        <v>7</v>
      </c>
      <c r="C145">
        <v>12</v>
      </c>
      <c r="D145">
        <v>9</v>
      </c>
      <c r="E145" s="61">
        <v>3744.8068117921111</v>
      </c>
      <c r="F145" s="61">
        <v>74.896136235842221</v>
      </c>
      <c r="G145" s="61">
        <v>58.5</v>
      </c>
      <c r="H145" s="100">
        <v>-566.23459800000001</v>
      </c>
      <c r="V145" s="64">
        <v>144</v>
      </c>
      <c r="W145" s="99">
        <v>5065.9996789999996</v>
      </c>
      <c r="X145" s="99">
        <v>4955.2237299999997</v>
      </c>
      <c r="Y145" s="99">
        <v>110.775949</v>
      </c>
      <c r="AM145" s="64">
        <v>144</v>
      </c>
      <c r="AN145" s="99">
        <v>2.7800400000000001</v>
      </c>
      <c r="AO145" s="99">
        <v>0.24829999999999999</v>
      </c>
      <c r="AP145" s="99">
        <v>2.6703999999999999</v>
      </c>
      <c r="AQ145" s="99">
        <v>117</v>
      </c>
      <c r="AS145" s="64">
        <v>144</v>
      </c>
      <c r="AT145" s="99">
        <v>5.2886300000000004</v>
      </c>
      <c r="AU145" s="99">
        <v>0.24829999999999999</v>
      </c>
      <c r="AV145" s="99">
        <v>2.6703999999999999</v>
      </c>
      <c r="AW145" s="99">
        <v>117</v>
      </c>
      <c r="BK145" s="64">
        <v>144</v>
      </c>
      <c r="BL145" s="99">
        <v>0.40756999999999999</v>
      </c>
      <c r="BM145" s="100">
        <v>-2.0651000000000002</v>
      </c>
      <c r="BN145" s="99">
        <v>0.20610000000000001</v>
      </c>
      <c r="BO145" s="99">
        <v>133</v>
      </c>
      <c r="BQ145" s="64">
        <v>144</v>
      </c>
      <c r="BR145" s="99">
        <v>0.21440000000000001</v>
      </c>
      <c r="BS145" s="100">
        <v>-2.0651000000000002</v>
      </c>
      <c r="BT145" s="99">
        <v>0.20610000000000001</v>
      </c>
      <c r="BU145" s="99">
        <v>133</v>
      </c>
      <c r="CJ145" s="64">
        <v>144</v>
      </c>
      <c r="CK145" s="99">
        <v>139.00200000000001</v>
      </c>
      <c r="CL145" s="99">
        <v>12.4138</v>
      </c>
      <c r="CM145" s="99">
        <v>133.52000000000001</v>
      </c>
      <c r="CN145" s="99">
        <v>117</v>
      </c>
      <c r="CP145" s="64">
        <v>144</v>
      </c>
      <c r="CQ145" s="99">
        <v>264.43099999999998</v>
      </c>
      <c r="CR145" s="99">
        <v>12.4138</v>
      </c>
      <c r="CS145" s="99">
        <v>133.52000000000001</v>
      </c>
      <c r="CT145" s="99">
        <v>117</v>
      </c>
    </row>
    <row r="146" spans="1:98" x14ac:dyDescent="0.25">
      <c r="A146" s="1">
        <v>1</v>
      </c>
      <c r="B146" s="1">
        <v>6</v>
      </c>
      <c r="C146">
        <v>8</v>
      </c>
      <c r="D146">
        <v>10</v>
      </c>
      <c r="E146" s="61">
        <v>4899.08844083862</v>
      </c>
      <c r="F146" s="61">
        <v>97.981768816772401</v>
      </c>
      <c r="G146">
        <v>58.7</v>
      </c>
      <c r="H146" s="99">
        <v>86.418307999999996</v>
      </c>
      <c r="V146" s="64">
        <v>145</v>
      </c>
      <c r="W146" s="99">
        <v>4873.7413450000004</v>
      </c>
      <c r="X146" s="99">
        <v>4765.4222840000002</v>
      </c>
      <c r="Y146" s="99">
        <v>108.319061</v>
      </c>
      <c r="AM146" s="64">
        <v>145</v>
      </c>
      <c r="AN146" s="99">
        <v>2.6484399999999999</v>
      </c>
      <c r="AO146" s="99">
        <v>15.4953</v>
      </c>
      <c r="AP146" s="99">
        <v>2.544</v>
      </c>
      <c r="AQ146" s="99">
        <v>117</v>
      </c>
      <c r="AS146" s="64">
        <v>145</v>
      </c>
      <c r="AT146" s="99">
        <v>5.0382800000000003</v>
      </c>
      <c r="AU146" s="99">
        <v>15.4953</v>
      </c>
      <c r="AV146" s="99">
        <v>2.544</v>
      </c>
      <c r="AW146" s="99">
        <v>117</v>
      </c>
      <c r="BK146" s="64">
        <v>145</v>
      </c>
      <c r="BL146" s="99">
        <v>0.40699999999999997</v>
      </c>
      <c r="BM146" s="100">
        <v>-1.8803000000000001</v>
      </c>
      <c r="BN146" s="99">
        <v>0.20580000000000001</v>
      </c>
      <c r="BO146" s="99">
        <v>133</v>
      </c>
      <c r="BQ146" s="64">
        <v>145</v>
      </c>
      <c r="BR146" s="99">
        <v>0.21410000000000001</v>
      </c>
      <c r="BS146" s="100">
        <v>-1.8803000000000001</v>
      </c>
      <c r="BT146" s="99">
        <v>0.20580000000000001</v>
      </c>
      <c r="BU146" s="99">
        <v>133</v>
      </c>
      <c r="CJ146" s="64">
        <v>145</v>
      </c>
      <c r="CK146" s="99">
        <v>132.422</v>
      </c>
      <c r="CL146" s="99">
        <v>774.77</v>
      </c>
      <c r="CM146" s="99">
        <v>127.2</v>
      </c>
      <c r="CN146" s="99">
        <v>117</v>
      </c>
      <c r="CP146" s="64">
        <v>145</v>
      </c>
      <c r="CQ146" s="99">
        <v>251.91399999999999</v>
      </c>
      <c r="CR146" s="99">
        <v>774.77</v>
      </c>
      <c r="CS146" s="99">
        <v>127.2</v>
      </c>
      <c r="CT146" s="99">
        <v>117</v>
      </c>
    </row>
    <row r="147" spans="1:98" x14ac:dyDescent="0.25">
      <c r="A147" s="1">
        <v>2</v>
      </c>
      <c r="B147" s="1">
        <v>7</v>
      </c>
      <c r="C147">
        <v>11</v>
      </c>
      <c r="D147">
        <v>10</v>
      </c>
      <c r="E147" s="61">
        <v>4553.7031086834286</v>
      </c>
      <c r="F147" s="61">
        <v>91.074062173668565</v>
      </c>
      <c r="G147">
        <v>58</v>
      </c>
      <c r="H147" s="99">
        <v>229.48648399999999</v>
      </c>
      <c r="V147" s="64">
        <v>146</v>
      </c>
      <c r="W147" s="99">
        <v>5216.239939</v>
      </c>
      <c r="X147" s="99">
        <v>4696.5199919999995</v>
      </c>
      <c r="Y147" s="99">
        <v>519.71994700000005</v>
      </c>
      <c r="AM147" s="64">
        <v>146</v>
      </c>
      <c r="AN147" s="99">
        <v>2.7755200000000002</v>
      </c>
      <c r="AO147" s="99">
        <v>1.5743</v>
      </c>
      <c r="AP147" s="99">
        <v>2.6661000000000001</v>
      </c>
      <c r="AQ147" s="99">
        <v>117</v>
      </c>
      <c r="AS147" s="64">
        <v>146</v>
      </c>
      <c r="AT147" s="99">
        <v>5.2800399999999996</v>
      </c>
      <c r="AU147" s="99">
        <v>1.5743</v>
      </c>
      <c r="AV147" s="99">
        <v>2.6661000000000001</v>
      </c>
      <c r="AW147" s="99">
        <v>117</v>
      </c>
      <c r="BK147" s="64">
        <v>146</v>
      </c>
      <c r="BL147" s="99">
        <v>0.40717999999999999</v>
      </c>
      <c r="BM147" s="99">
        <v>0.3846</v>
      </c>
      <c r="BN147" s="99">
        <v>0.2059</v>
      </c>
      <c r="BO147" s="99">
        <v>133</v>
      </c>
      <c r="BQ147" s="64">
        <v>146</v>
      </c>
      <c r="BR147" s="99">
        <v>0.2142</v>
      </c>
      <c r="BS147" s="99">
        <v>0.3846</v>
      </c>
      <c r="BT147" s="99">
        <v>0.2059</v>
      </c>
      <c r="BU147" s="99">
        <v>133</v>
      </c>
      <c r="CJ147" s="64">
        <v>146</v>
      </c>
      <c r="CK147" s="99">
        <v>138.77600000000001</v>
      </c>
      <c r="CL147" s="99">
        <v>78.714399999999998</v>
      </c>
      <c r="CM147" s="99">
        <v>133.30000000000001</v>
      </c>
      <c r="CN147" s="99">
        <v>117</v>
      </c>
      <c r="CP147" s="64">
        <v>146</v>
      </c>
      <c r="CQ147" s="99">
        <v>264.00200000000001</v>
      </c>
      <c r="CR147" s="99">
        <v>78.714399999999998</v>
      </c>
      <c r="CS147" s="99">
        <v>133.30000000000001</v>
      </c>
      <c r="CT147" s="99">
        <v>117</v>
      </c>
    </row>
    <row r="148" spans="1:98" x14ac:dyDescent="0.25">
      <c r="A148" s="1">
        <v>3</v>
      </c>
      <c r="B148" s="1">
        <v>7</v>
      </c>
      <c r="C148">
        <v>9</v>
      </c>
      <c r="D148">
        <v>10</v>
      </c>
      <c r="E148" s="61">
        <v>4985.0040163868589</v>
      </c>
      <c r="F148" s="61">
        <v>99.700080327737183</v>
      </c>
      <c r="G148">
        <v>58.5</v>
      </c>
      <c r="H148" s="99">
        <v>184.80997300000001</v>
      </c>
      <c r="V148" s="64">
        <v>147</v>
      </c>
      <c r="W148" s="99">
        <v>5007.7029480000001</v>
      </c>
      <c r="X148" s="99">
        <v>4735.377367</v>
      </c>
      <c r="Y148" s="99">
        <v>272.325581</v>
      </c>
      <c r="AM148" s="64">
        <v>147</v>
      </c>
      <c r="AN148" s="99">
        <v>2.7931900000000001</v>
      </c>
      <c r="AO148" s="99">
        <v>7.1616</v>
      </c>
      <c r="AP148" s="99">
        <v>2.6831</v>
      </c>
      <c r="AQ148" s="99">
        <v>117</v>
      </c>
      <c r="AS148" s="64">
        <v>147</v>
      </c>
      <c r="AT148" s="99">
        <v>5.3136599999999996</v>
      </c>
      <c r="AU148" s="99">
        <v>7.1616</v>
      </c>
      <c r="AV148" s="99">
        <v>2.6831</v>
      </c>
      <c r="AW148" s="99">
        <v>117</v>
      </c>
      <c r="BK148" s="64">
        <v>147</v>
      </c>
      <c r="BL148" s="99">
        <v>0.41316999999999998</v>
      </c>
      <c r="BM148" s="99">
        <v>0.37669999999999998</v>
      </c>
      <c r="BN148" s="99">
        <v>0.2089</v>
      </c>
      <c r="BO148" s="99">
        <v>133</v>
      </c>
      <c r="BQ148" s="64">
        <v>147</v>
      </c>
      <c r="BR148" s="99">
        <v>0.21734000000000001</v>
      </c>
      <c r="BS148" s="99">
        <v>0.37669999999999998</v>
      </c>
      <c r="BT148" s="99">
        <v>0.2089</v>
      </c>
      <c r="BU148" s="99">
        <v>133</v>
      </c>
      <c r="CJ148" s="64">
        <v>147</v>
      </c>
      <c r="CK148" s="99">
        <v>139.66</v>
      </c>
      <c r="CL148" s="99">
        <v>358.08</v>
      </c>
      <c r="CM148" s="99">
        <v>134.15</v>
      </c>
      <c r="CN148" s="99">
        <v>117</v>
      </c>
      <c r="CP148" s="64">
        <v>147</v>
      </c>
      <c r="CQ148" s="99">
        <v>265.68299999999999</v>
      </c>
      <c r="CR148" s="99">
        <v>358.08</v>
      </c>
      <c r="CS148" s="99">
        <v>134.15</v>
      </c>
      <c r="CT148" s="99">
        <v>117</v>
      </c>
    </row>
    <row r="149" spans="1:98" x14ac:dyDescent="0.25">
      <c r="A149" s="1">
        <v>5</v>
      </c>
      <c r="B149" s="1">
        <v>8</v>
      </c>
      <c r="C149">
        <v>13</v>
      </c>
      <c r="D149">
        <v>10</v>
      </c>
      <c r="E149" s="61">
        <v>4714.0297212627511</v>
      </c>
      <c r="F149" s="61">
        <v>94.280594425255018</v>
      </c>
      <c r="G149">
        <v>58.3</v>
      </c>
      <c r="H149" s="100">
        <v>-56.891103000000001</v>
      </c>
      <c r="V149" s="64">
        <v>148</v>
      </c>
      <c r="W149" s="99">
        <v>5245.1682870000004</v>
      </c>
      <c r="X149" s="99">
        <v>4752.8365180000001</v>
      </c>
      <c r="Y149" s="99">
        <v>492.33176900000001</v>
      </c>
      <c r="AM149" s="64">
        <v>148</v>
      </c>
      <c r="AN149" s="99">
        <v>2.7547600000000001</v>
      </c>
      <c r="AO149" s="99">
        <v>3.3008999999999999</v>
      </c>
      <c r="AP149" s="99">
        <v>2.6461000000000001</v>
      </c>
      <c r="AQ149" s="99">
        <v>117</v>
      </c>
      <c r="AS149" s="64">
        <v>148</v>
      </c>
      <c r="AT149" s="99">
        <v>5.2405600000000003</v>
      </c>
      <c r="AU149" s="99">
        <v>3.3008999999999999</v>
      </c>
      <c r="AV149" s="99">
        <v>2.6461000000000001</v>
      </c>
      <c r="AW149" s="99">
        <v>117</v>
      </c>
      <c r="BK149" s="64">
        <v>148</v>
      </c>
      <c r="BL149" s="99">
        <v>0.40332000000000001</v>
      </c>
      <c r="BM149" s="100">
        <v>-0.33329999999999999</v>
      </c>
      <c r="BN149" s="99">
        <v>0.2039</v>
      </c>
      <c r="BO149" s="99">
        <v>133</v>
      </c>
      <c r="BQ149" s="64">
        <v>148</v>
      </c>
      <c r="BR149" s="99">
        <v>0.21217</v>
      </c>
      <c r="BS149" s="100">
        <v>-0.33329999999999999</v>
      </c>
      <c r="BT149" s="99">
        <v>0.2039</v>
      </c>
      <c r="BU149" s="99">
        <v>133</v>
      </c>
      <c r="CJ149" s="64">
        <v>148</v>
      </c>
      <c r="CK149" s="99">
        <v>137.738</v>
      </c>
      <c r="CL149" s="99">
        <v>165.04</v>
      </c>
      <c r="CM149" s="99">
        <v>132.31</v>
      </c>
      <c r="CN149" s="99">
        <v>117</v>
      </c>
      <c r="CP149" s="64">
        <v>148</v>
      </c>
      <c r="CQ149" s="99">
        <v>262.02800000000002</v>
      </c>
      <c r="CR149" s="99">
        <v>165.04</v>
      </c>
      <c r="CS149" s="99">
        <v>132.31</v>
      </c>
      <c r="CT149" s="99">
        <v>117</v>
      </c>
    </row>
    <row r="150" spans="1:98" x14ac:dyDescent="0.25">
      <c r="A150" s="1">
        <v>6</v>
      </c>
      <c r="B150" s="1">
        <v>6</v>
      </c>
      <c r="C150">
        <v>7</v>
      </c>
      <c r="D150">
        <v>10</v>
      </c>
      <c r="E150" s="61">
        <v>4541.0136557153173</v>
      </c>
      <c r="F150" s="61">
        <v>90.820273114306346</v>
      </c>
      <c r="G150">
        <v>58.4</v>
      </c>
      <c r="H150" s="99">
        <v>109.215613</v>
      </c>
      <c r="V150" s="64">
        <v>149</v>
      </c>
      <c r="W150" s="99">
        <v>3125.1522209999998</v>
      </c>
      <c r="X150" s="99">
        <v>4624.3928980000001</v>
      </c>
      <c r="Y150" s="100">
        <v>-1499.240677</v>
      </c>
      <c r="AM150" s="64">
        <v>149</v>
      </c>
      <c r="AN150" s="99">
        <v>2.8088700000000002</v>
      </c>
      <c r="AO150" s="100">
        <v>-10.957000000000001</v>
      </c>
      <c r="AP150" s="99">
        <v>2.6981000000000002</v>
      </c>
      <c r="AQ150" s="99">
        <v>117</v>
      </c>
      <c r="AS150" s="64">
        <v>149</v>
      </c>
      <c r="AT150" s="99">
        <v>5.3434699999999999</v>
      </c>
      <c r="AU150" s="100">
        <v>-10.957000000000001</v>
      </c>
      <c r="AV150" s="99">
        <v>2.6981000000000002</v>
      </c>
      <c r="AW150" s="99">
        <v>117</v>
      </c>
      <c r="BK150" s="64">
        <v>149</v>
      </c>
      <c r="BL150" s="99">
        <v>0.41069</v>
      </c>
      <c r="BM150" s="100">
        <v>-0.63029999999999997</v>
      </c>
      <c r="BN150" s="99">
        <v>0.20760000000000001</v>
      </c>
      <c r="BO150" s="99">
        <v>133</v>
      </c>
      <c r="BQ150" s="64">
        <v>149</v>
      </c>
      <c r="BR150" s="99">
        <v>0.21604000000000001</v>
      </c>
      <c r="BS150" s="100">
        <v>-0.63029999999999997</v>
      </c>
      <c r="BT150" s="99">
        <v>0.20760000000000001</v>
      </c>
      <c r="BU150" s="99">
        <v>133</v>
      </c>
      <c r="CJ150" s="64">
        <v>149</v>
      </c>
      <c r="CK150" s="99">
        <v>140.44300000000001</v>
      </c>
      <c r="CL150" s="100">
        <v>-547.85</v>
      </c>
      <c r="CM150" s="99">
        <v>134.91</v>
      </c>
      <c r="CN150" s="99">
        <v>117</v>
      </c>
      <c r="CP150" s="64">
        <v>149</v>
      </c>
      <c r="CQ150" s="99">
        <v>267.17399999999998</v>
      </c>
      <c r="CR150" s="100">
        <v>-547.85</v>
      </c>
      <c r="CS150" s="99">
        <v>134.91</v>
      </c>
      <c r="CT150" s="99">
        <v>117</v>
      </c>
    </row>
    <row r="151" spans="1:98" x14ac:dyDescent="0.25">
      <c r="A151" s="1">
        <v>7</v>
      </c>
      <c r="B151" s="1">
        <v>6</v>
      </c>
      <c r="C151">
        <v>6</v>
      </c>
      <c r="D151">
        <v>10</v>
      </c>
      <c r="E151" s="61">
        <v>4433.4170616113743</v>
      </c>
      <c r="F151" s="61">
        <v>88.66834123222749</v>
      </c>
      <c r="G151">
        <v>57.7</v>
      </c>
      <c r="H151" s="100">
        <v>-51.956609999999998</v>
      </c>
      <c r="V151" s="64">
        <v>150</v>
      </c>
      <c r="W151" s="99">
        <v>4521.4426860000003</v>
      </c>
      <c r="X151" s="99">
        <v>4729.8215229999996</v>
      </c>
      <c r="Y151" s="100">
        <v>-208.378837</v>
      </c>
      <c r="AM151" s="64">
        <v>150</v>
      </c>
      <c r="AN151" s="99">
        <v>2.7665600000000001</v>
      </c>
      <c r="AO151" s="100">
        <v>-7.3685999999999998</v>
      </c>
      <c r="AP151" s="99">
        <v>2.6575000000000002</v>
      </c>
      <c r="AQ151" s="99">
        <v>117</v>
      </c>
      <c r="AS151" s="64">
        <v>150</v>
      </c>
      <c r="AT151" s="99">
        <v>5.2629999999999999</v>
      </c>
      <c r="AU151" s="100">
        <v>-7.3685999999999998</v>
      </c>
      <c r="AV151" s="99">
        <v>2.6575000000000002</v>
      </c>
      <c r="AW151" s="99">
        <v>117</v>
      </c>
      <c r="BK151" s="64">
        <v>150</v>
      </c>
      <c r="BL151" s="99">
        <v>0.40781000000000001</v>
      </c>
      <c r="BM151" s="100">
        <v>-0.50749999999999995</v>
      </c>
      <c r="BN151" s="99">
        <v>0.20619999999999999</v>
      </c>
      <c r="BO151" s="99">
        <v>133</v>
      </c>
      <c r="BQ151" s="64">
        <v>150</v>
      </c>
      <c r="BR151" s="99">
        <v>0.21451999999999999</v>
      </c>
      <c r="BS151" s="100">
        <v>-0.50749999999999995</v>
      </c>
      <c r="BT151" s="99">
        <v>0.20619999999999999</v>
      </c>
      <c r="BU151" s="99">
        <v>133</v>
      </c>
      <c r="CJ151" s="64">
        <v>150</v>
      </c>
      <c r="CK151" s="99">
        <v>138.328</v>
      </c>
      <c r="CL151" s="100">
        <v>-368.43</v>
      </c>
      <c r="CM151" s="99">
        <v>132.87</v>
      </c>
      <c r="CN151" s="99">
        <v>117</v>
      </c>
      <c r="CP151" s="64">
        <v>150</v>
      </c>
      <c r="CQ151" s="99">
        <v>263.14999999999998</v>
      </c>
      <c r="CR151" s="100">
        <v>-368.43</v>
      </c>
      <c r="CS151" s="99">
        <v>132.87</v>
      </c>
      <c r="CT151" s="99">
        <v>117</v>
      </c>
    </row>
    <row r="152" spans="1:98" x14ac:dyDescent="0.25">
      <c r="A152" s="1">
        <v>8</v>
      </c>
      <c r="B152" s="1">
        <v>5</v>
      </c>
      <c r="C152">
        <v>1</v>
      </c>
      <c r="D152">
        <v>10</v>
      </c>
      <c r="E152" s="61">
        <v>4424.3088601494092</v>
      </c>
      <c r="F152" s="61">
        <v>88.486177202988188</v>
      </c>
      <c r="G152">
        <v>58</v>
      </c>
      <c r="H152" s="99">
        <v>142.700447</v>
      </c>
      <c r="V152" s="64">
        <v>151</v>
      </c>
      <c r="W152" s="99">
        <v>4800.3243629999997</v>
      </c>
      <c r="X152" s="99">
        <v>4310.7138349999996</v>
      </c>
      <c r="Y152" s="99">
        <v>489.61052799999999</v>
      </c>
      <c r="AM152" s="64">
        <v>151</v>
      </c>
      <c r="AN152" s="99">
        <v>2.7200299999999999</v>
      </c>
      <c r="AO152" s="100">
        <v>-1.1056999999999999</v>
      </c>
      <c r="AP152" s="99">
        <v>2.6128</v>
      </c>
      <c r="AQ152" s="99">
        <v>117</v>
      </c>
      <c r="AS152" s="64">
        <v>151</v>
      </c>
      <c r="AT152" s="99">
        <v>5.1744700000000003</v>
      </c>
      <c r="AU152" s="100">
        <v>-1.1056999999999999</v>
      </c>
      <c r="AV152" s="99">
        <v>2.6128</v>
      </c>
      <c r="AW152" s="99">
        <v>117</v>
      </c>
      <c r="BK152" s="64">
        <v>151</v>
      </c>
      <c r="BL152" s="99">
        <v>0.40305999999999997</v>
      </c>
      <c r="BM152" s="100">
        <v>-0.44690000000000002</v>
      </c>
      <c r="BN152" s="99">
        <v>0.20380000000000001</v>
      </c>
      <c r="BO152" s="99">
        <v>133</v>
      </c>
      <c r="BQ152" s="64">
        <v>151</v>
      </c>
      <c r="BR152" s="99">
        <v>0.21201999999999999</v>
      </c>
      <c r="BS152" s="100">
        <v>-0.44690000000000002</v>
      </c>
      <c r="BT152" s="99">
        <v>0.20380000000000001</v>
      </c>
      <c r="BU152" s="99">
        <v>133</v>
      </c>
      <c r="CJ152" s="64">
        <v>151</v>
      </c>
      <c r="CK152" s="99">
        <v>136.001</v>
      </c>
      <c r="CL152" s="100">
        <v>-55.283099999999997</v>
      </c>
      <c r="CM152" s="99">
        <v>130.63999999999999</v>
      </c>
      <c r="CN152" s="99">
        <v>117</v>
      </c>
      <c r="CP152" s="64">
        <v>151</v>
      </c>
      <c r="CQ152" s="99">
        <v>258.72399999999999</v>
      </c>
      <c r="CR152" s="100">
        <v>-55.283099999999997</v>
      </c>
      <c r="CS152" s="99">
        <v>130.63999999999999</v>
      </c>
      <c r="CT152" s="99">
        <v>117</v>
      </c>
    </row>
    <row r="153" spans="1:98" x14ac:dyDescent="0.25">
      <c r="A153" s="1">
        <v>9</v>
      </c>
      <c r="B153" s="1">
        <v>6</v>
      </c>
      <c r="C153">
        <v>5</v>
      </c>
      <c r="D153">
        <v>10</v>
      </c>
      <c r="E153" s="61">
        <v>3755.5028516346692</v>
      </c>
      <c r="F153" s="61">
        <v>75.110057032693391</v>
      </c>
      <c r="G153">
        <v>57.3</v>
      </c>
      <c r="H153" s="100">
        <v>-219.81220099999999</v>
      </c>
      <c r="V153" s="64">
        <v>152</v>
      </c>
      <c r="W153" s="99">
        <v>4575.2727930000001</v>
      </c>
      <c r="X153" s="99">
        <v>4749.9601650000004</v>
      </c>
      <c r="Y153" s="100">
        <v>-174.68737200000001</v>
      </c>
      <c r="AM153" s="64">
        <v>152</v>
      </c>
      <c r="AN153" s="99">
        <v>2.7052900000000002</v>
      </c>
      <c r="AO153" s="100">
        <v>-15.680300000000001</v>
      </c>
      <c r="AP153" s="99">
        <v>2.5985999999999998</v>
      </c>
      <c r="AQ153" s="99">
        <v>117</v>
      </c>
      <c r="AS153" s="64">
        <v>152</v>
      </c>
      <c r="AT153" s="99">
        <v>5.1464299999999996</v>
      </c>
      <c r="AU153" s="100">
        <v>-15.680300000000001</v>
      </c>
      <c r="AV153" s="99">
        <v>2.5985999999999998</v>
      </c>
      <c r="AW153" s="99">
        <v>117</v>
      </c>
      <c r="BK153" s="64">
        <v>152</v>
      </c>
      <c r="BL153" s="99">
        <v>0.39428000000000002</v>
      </c>
      <c r="BM153" s="100">
        <v>-0.4859</v>
      </c>
      <c r="BN153" s="99">
        <v>0.1993</v>
      </c>
      <c r="BO153" s="99">
        <v>133</v>
      </c>
      <c r="BQ153" s="64">
        <v>152</v>
      </c>
      <c r="BR153" s="99">
        <v>0.20741000000000001</v>
      </c>
      <c r="BS153" s="100">
        <v>-0.4859</v>
      </c>
      <c r="BT153" s="99">
        <v>0.1993</v>
      </c>
      <c r="BU153" s="99">
        <v>133</v>
      </c>
      <c r="CJ153" s="64">
        <v>152</v>
      </c>
      <c r="CK153" s="99">
        <v>135.26400000000001</v>
      </c>
      <c r="CL153" s="100">
        <v>-784.01</v>
      </c>
      <c r="CM153" s="99">
        <v>129.93</v>
      </c>
      <c r="CN153" s="99">
        <v>117</v>
      </c>
      <c r="CP153" s="64">
        <v>152</v>
      </c>
      <c r="CQ153" s="99">
        <v>257.322</v>
      </c>
      <c r="CR153" s="100">
        <v>-784.01</v>
      </c>
      <c r="CS153" s="99">
        <v>129.93</v>
      </c>
      <c r="CT153" s="99">
        <v>117</v>
      </c>
    </row>
    <row r="154" spans="1:98" x14ac:dyDescent="0.25">
      <c r="A154" s="1">
        <v>10</v>
      </c>
      <c r="B154" s="1">
        <v>5</v>
      </c>
      <c r="C154">
        <v>2</v>
      </c>
      <c r="D154">
        <v>10</v>
      </c>
      <c r="E154" s="61">
        <v>5283.2313438830424</v>
      </c>
      <c r="F154" s="61">
        <v>105.66462687766085</v>
      </c>
      <c r="G154">
        <v>56.3</v>
      </c>
      <c r="H154" s="99">
        <v>566.731494</v>
      </c>
      <c r="V154" s="64">
        <v>153</v>
      </c>
      <c r="W154" s="99">
        <v>4285.159611</v>
      </c>
      <c r="X154" s="99">
        <v>4277.7398800000001</v>
      </c>
      <c r="Y154" s="99">
        <v>7.4197309999999996</v>
      </c>
      <c r="AM154" s="64">
        <v>153</v>
      </c>
      <c r="AN154" s="99">
        <v>2.6831299999999998</v>
      </c>
      <c r="AO154" s="100">
        <v>-14.277900000000001</v>
      </c>
      <c r="AP154" s="99">
        <v>2.5773000000000001</v>
      </c>
      <c r="AQ154" s="99">
        <v>117</v>
      </c>
      <c r="AS154" s="64">
        <v>153</v>
      </c>
      <c r="AT154" s="99">
        <v>5.1042699999999996</v>
      </c>
      <c r="AU154" s="100">
        <v>-14.277900000000001</v>
      </c>
      <c r="AV154" s="99">
        <v>2.5773000000000001</v>
      </c>
      <c r="AW154" s="99">
        <v>117</v>
      </c>
      <c r="BK154" s="64">
        <v>153</v>
      </c>
      <c r="BL154" s="99">
        <v>0.40038000000000001</v>
      </c>
      <c r="BM154" s="100">
        <v>-0.64459999999999995</v>
      </c>
      <c r="BN154" s="99">
        <v>0.2024</v>
      </c>
      <c r="BO154" s="99">
        <v>133</v>
      </c>
      <c r="BQ154" s="64">
        <v>153</v>
      </c>
      <c r="BR154" s="99">
        <v>0.21062</v>
      </c>
      <c r="BS154" s="100">
        <v>-0.64459999999999995</v>
      </c>
      <c r="BT154" s="99">
        <v>0.2024</v>
      </c>
      <c r="BU154" s="99">
        <v>133</v>
      </c>
      <c r="CJ154" s="64">
        <v>153</v>
      </c>
      <c r="CK154" s="99">
        <v>134.15600000000001</v>
      </c>
      <c r="CL154" s="100">
        <v>-713.89</v>
      </c>
      <c r="CM154" s="99">
        <v>128.87</v>
      </c>
      <c r="CN154" s="99">
        <v>117</v>
      </c>
      <c r="CP154" s="64">
        <v>153</v>
      </c>
      <c r="CQ154" s="99">
        <v>255.214</v>
      </c>
      <c r="CR154" s="100">
        <v>-713.89</v>
      </c>
      <c r="CS154" s="99">
        <v>128.87</v>
      </c>
      <c r="CT154" s="99">
        <v>117</v>
      </c>
    </row>
    <row r="155" spans="1:98" x14ac:dyDescent="0.25">
      <c r="A155" s="1">
        <v>11</v>
      </c>
      <c r="B155" s="1">
        <v>7</v>
      </c>
      <c r="C155">
        <v>10</v>
      </c>
      <c r="D155">
        <v>10</v>
      </c>
      <c r="E155" s="61">
        <v>4124.2100570326938</v>
      </c>
      <c r="F155" s="61">
        <v>82.48420114065388</v>
      </c>
      <c r="G155">
        <v>57.7</v>
      </c>
      <c r="H155" s="100">
        <v>-162.30439100000001</v>
      </c>
      <c r="V155" s="64">
        <v>154</v>
      </c>
      <c r="W155" s="99">
        <v>4392.2949630000003</v>
      </c>
      <c r="X155" s="99">
        <v>4346.6421710000004</v>
      </c>
      <c r="Y155" s="99">
        <v>45.652791999999998</v>
      </c>
      <c r="AM155" s="64">
        <v>154</v>
      </c>
      <c r="AN155" s="99">
        <v>2.6299700000000001</v>
      </c>
      <c r="AO155" s="99">
        <v>0.96919999999999995</v>
      </c>
      <c r="AP155" s="99">
        <v>2.5263</v>
      </c>
      <c r="AQ155" s="99">
        <v>117</v>
      </c>
      <c r="AS155" s="64">
        <v>154</v>
      </c>
      <c r="AT155" s="99">
        <v>5.0031499999999998</v>
      </c>
      <c r="AU155" s="99">
        <v>0.96919999999999995</v>
      </c>
      <c r="AV155" s="99">
        <v>2.5263</v>
      </c>
      <c r="AW155" s="99">
        <v>117</v>
      </c>
      <c r="BK155" s="64">
        <v>154</v>
      </c>
      <c r="BL155" s="99">
        <v>0.40289000000000003</v>
      </c>
      <c r="BM155" s="100">
        <v>-0.45979999999999999</v>
      </c>
      <c r="BN155" s="99">
        <v>0.20369999999999999</v>
      </c>
      <c r="BO155" s="99">
        <v>133</v>
      </c>
      <c r="BQ155" s="64">
        <v>154</v>
      </c>
      <c r="BR155" s="99">
        <v>0.21193999999999999</v>
      </c>
      <c r="BS155" s="100">
        <v>-0.45979999999999999</v>
      </c>
      <c r="BT155" s="99">
        <v>0.20369999999999999</v>
      </c>
      <c r="BU155" s="99">
        <v>133</v>
      </c>
      <c r="CJ155" s="64">
        <v>154</v>
      </c>
      <c r="CK155" s="99">
        <v>131.499</v>
      </c>
      <c r="CL155" s="99">
        <v>48.458300000000001</v>
      </c>
      <c r="CM155" s="99">
        <v>126.31</v>
      </c>
      <c r="CN155" s="99">
        <v>117</v>
      </c>
      <c r="CP155" s="64">
        <v>154</v>
      </c>
      <c r="CQ155" s="99">
        <v>250.15799999999999</v>
      </c>
      <c r="CR155" s="99">
        <v>48.458300000000001</v>
      </c>
      <c r="CS155" s="99">
        <v>126.31</v>
      </c>
      <c r="CT155" s="99">
        <v>117</v>
      </c>
    </row>
    <row r="156" spans="1:98" x14ac:dyDescent="0.25">
      <c r="A156" s="1">
        <v>12</v>
      </c>
      <c r="B156" s="1">
        <v>5</v>
      </c>
      <c r="C156">
        <v>4</v>
      </c>
      <c r="D156">
        <v>10</v>
      </c>
      <c r="E156" s="61">
        <v>4657.0849064181866</v>
      </c>
      <c r="F156" s="61">
        <v>93.141698128363728</v>
      </c>
      <c r="G156">
        <v>57.9</v>
      </c>
      <c r="H156" s="99">
        <v>584.87698699999999</v>
      </c>
      <c r="V156" s="64">
        <v>155</v>
      </c>
      <c r="W156" s="99">
        <v>4382.2033099999999</v>
      </c>
      <c r="X156" s="99">
        <v>4334.0564059999997</v>
      </c>
      <c r="Y156" s="99">
        <v>48.146903999999999</v>
      </c>
      <c r="AM156" s="64">
        <v>155</v>
      </c>
      <c r="AN156" s="99">
        <v>2.7042199999999998</v>
      </c>
      <c r="AO156" s="99">
        <v>5.5872999999999999</v>
      </c>
      <c r="AP156" s="99">
        <v>2.5975999999999999</v>
      </c>
      <c r="AQ156" s="99">
        <v>117</v>
      </c>
      <c r="AS156" s="64">
        <v>155</v>
      </c>
      <c r="AT156" s="99">
        <v>5.1444099999999997</v>
      </c>
      <c r="AU156" s="99">
        <v>5.5872999999999999</v>
      </c>
      <c r="AV156" s="99">
        <v>2.5975999999999999</v>
      </c>
      <c r="AW156" s="99">
        <v>117</v>
      </c>
      <c r="BK156" s="64">
        <v>155</v>
      </c>
      <c r="BL156" s="99">
        <v>0.39834000000000003</v>
      </c>
      <c r="BM156" s="100">
        <v>-7.9600000000000001E-3</v>
      </c>
      <c r="BN156" s="99">
        <v>0.2014</v>
      </c>
      <c r="BO156" s="99">
        <v>133</v>
      </c>
      <c r="BQ156" s="64">
        <v>155</v>
      </c>
      <c r="BR156" s="99">
        <v>0.20954999999999999</v>
      </c>
      <c r="BS156" s="100">
        <v>-7.9600000000000001E-3</v>
      </c>
      <c r="BT156" s="99">
        <v>0.2014</v>
      </c>
      <c r="BU156" s="99">
        <v>133</v>
      </c>
      <c r="CJ156" s="64">
        <v>155</v>
      </c>
      <c r="CK156" s="99">
        <v>135.21100000000001</v>
      </c>
      <c r="CL156" s="99">
        <v>279.37</v>
      </c>
      <c r="CM156" s="99">
        <v>129.88</v>
      </c>
      <c r="CN156" s="99">
        <v>117</v>
      </c>
      <c r="CP156" s="64">
        <v>155</v>
      </c>
      <c r="CQ156" s="99">
        <v>257.22000000000003</v>
      </c>
      <c r="CR156" s="99">
        <v>279.37</v>
      </c>
      <c r="CS156" s="99">
        <v>129.88</v>
      </c>
      <c r="CT156" s="99">
        <v>117</v>
      </c>
    </row>
    <row r="157" spans="1:98" x14ac:dyDescent="0.25">
      <c r="A157" s="1">
        <v>13</v>
      </c>
      <c r="B157" s="1">
        <v>8</v>
      </c>
      <c r="C157">
        <v>16</v>
      </c>
      <c r="D157">
        <v>10</v>
      </c>
      <c r="E157" s="61">
        <v>3804.4819664230058</v>
      </c>
      <c r="F157" s="61">
        <v>76.089639328460123</v>
      </c>
      <c r="G157">
        <v>57.2</v>
      </c>
      <c r="H157" s="100">
        <v>-33.483409999999999</v>
      </c>
      <c r="V157" s="64">
        <v>156</v>
      </c>
      <c r="W157" s="99">
        <v>4031.412965</v>
      </c>
      <c r="X157" s="99">
        <v>4316.5972540000002</v>
      </c>
      <c r="Y157" s="100">
        <v>-285.18428899999998</v>
      </c>
      <c r="AM157" s="64">
        <v>156</v>
      </c>
      <c r="AN157" s="99">
        <v>2.70987</v>
      </c>
      <c r="AO157" s="99">
        <v>1.7265999999999999</v>
      </c>
      <c r="AP157" s="99">
        <v>2.6030000000000002</v>
      </c>
      <c r="AQ157" s="99">
        <v>117</v>
      </c>
      <c r="AS157" s="64">
        <v>156</v>
      </c>
      <c r="AT157" s="99">
        <v>5.1551499999999999</v>
      </c>
      <c r="AU157" s="99">
        <v>1.7265999999999999</v>
      </c>
      <c r="AV157" s="99">
        <v>2.6030000000000002</v>
      </c>
      <c r="AW157" s="99">
        <v>117</v>
      </c>
      <c r="BK157" s="64">
        <v>156</v>
      </c>
      <c r="BL157" s="99">
        <v>0.40083999999999997</v>
      </c>
      <c r="BM157" s="100">
        <v>-0.71789999999999998</v>
      </c>
      <c r="BN157" s="99">
        <v>0.20269999999999999</v>
      </c>
      <c r="BO157" s="99">
        <v>133</v>
      </c>
      <c r="BQ157" s="64">
        <v>156</v>
      </c>
      <c r="BR157" s="99">
        <v>0.21085999999999999</v>
      </c>
      <c r="BS157" s="100">
        <v>-0.71789999999999998</v>
      </c>
      <c r="BT157" s="99">
        <v>0.20269999999999999</v>
      </c>
      <c r="BU157" s="99">
        <v>133</v>
      </c>
      <c r="CJ157" s="64">
        <v>156</v>
      </c>
      <c r="CK157" s="99">
        <v>135.49299999999999</v>
      </c>
      <c r="CL157" s="99">
        <v>86.330600000000004</v>
      </c>
      <c r="CM157" s="99">
        <v>130.15</v>
      </c>
      <c r="CN157" s="99">
        <v>117</v>
      </c>
      <c r="CP157" s="64">
        <v>156</v>
      </c>
      <c r="CQ157" s="99">
        <v>257.75700000000001</v>
      </c>
      <c r="CR157" s="99">
        <v>86.330600000000004</v>
      </c>
      <c r="CS157" s="99">
        <v>130.15</v>
      </c>
      <c r="CT157" s="99">
        <v>117</v>
      </c>
    </row>
    <row r="158" spans="1:98" x14ac:dyDescent="0.25">
      <c r="A158" s="1">
        <v>15</v>
      </c>
      <c r="B158" s="1">
        <v>5</v>
      </c>
      <c r="C158">
        <v>3</v>
      </c>
      <c r="D158">
        <v>10</v>
      </c>
      <c r="E158" s="61">
        <v>4736.2753634830115</v>
      </c>
      <c r="F158" s="61">
        <v>94.725507269660227</v>
      </c>
      <c r="G158">
        <v>58.6</v>
      </c>
      <c r="H158" s="100">
        <v>-176.072025</v>
      </c>
      <c r="V158" s="64">
        <v>157</v>
      </c>
      <c r="W158" s="99">
        <v>4472.5881600000002</v>
      </c>
      <c r="X158" s="99">
        <v>4205.6127850000003</v>
      </c>
      <c r="Y158" s="99">
        <v>266.97537499999999</v>
      </c>
      <c r="AM158" s="64">
        <v>157</v>
      </c>
      <c r="AN158" s="99">
        <v>2.6944699999999999</v>
      </c>
      <c r="AO158" s="100">
        <v>-12.5313</v>
      </c>
      <c r="AP158" s="99">
        <v>2.5882000000000001</v>
      </c>
      <c r="AQ158" s="99">
        <v>117</v>
      </c>
      <c r="AS158" s="64">
        <v>157</v>
      </c>
      <c r="AT158" s="99">
        <v>5.1258600000000003</v>
      </c>
      <c r="AU158" s="100">
        <v>-12.5313</v>
      </c>
      <c r="AV158" s="99">
        <v>2.5882000000000001</v>
      </c>
      <c r="AW158" s="99">
        <v>117</v>
      </c>
      <c r="BK158" s="64">
        <v>157</v>
      </c>
      <c r="BL158" s="99">
        <v>0.39777000000000001</v>
      </c>
      <c r="BM158" s="100">
        <v>-1.0148999999999999</v>
      </c>
      <c r="BN158" s="99">
        <v>0.2011</v>
      </c>
      <c r="BO158" s="99">
        <v>133</v>
      </c>
      <c r="BQ158" s="64">
        <v>157</v>
      </c>
      <c r="BR158" s="99">
        <v>0.20924000000000001</v>
      </c>
      <c r="BS158" s="100">
        <v>-1.0148999999999999</v>
      </c>
      <c r="BT158" s="99">
        <v>0.2011</v>
      </c>
      <c r="BU158" s="99">
        <v>133</v>
      </c>
      <c r="CJ158" s="64">
        <v>157</v>
      </c>
      <c r="CK158" s="99">
        <v>134.72399999999999</v>
      </c>
      <c r="CL158" s="100">
        <v>-626.57000000000005</v>
      </c>
      <c r="CM158" s="99">
        <v>129.41</v>
      </c>
      <c r="CN158" s="99">
        <v>117</v>
      </c>
      <c r="CP158" s="64">
        <v>157</v>
      </c>
      <c r="CQ158" s="99">
        <v>256.29300000000001</v>
      </c>
      <c r="CR158" s="100">
        <v>-626.57000000000005</v>
      </c>
      <c r="CS158" s="99">
        <v>129.41</v>
      </c>
      <c r="CT158" s="99">
        <v>117</v>
      </c>
    </row>
    <row r="159" spans="1:98" x14ac:dyDescent="0.25">
      <c r="A159" s="1">
        <v>16</v>
      </c>
      <c r="B159" s="1">
        <v>8</v>
      </c>
      <c r="C159">
        <v>14</v>
      </c>
      <c r="D159">
        <v>10</v>
      </c>
      <c r="E159" s="61">
        <v>4741.9003936059116</v>
      </c>
      <c r="F159" s="61">
        <v>94.838007872118226</v>
      </c>
      <c r="G159">
        <v>58.3</v>
      </c>
      <c r="H159" s="99">
        <v>290.69772</v>
      </c>
      <c r="V159" s="64">
        <v>158</v>
      </c>
      <c r="W159" s="99">
        <v>3744.8068119999998</v>
      </c>
      <c r="X159" s="99">
        <v>4311.0414099999998</v>
      </c>
      <c r="Y159" s="100">
        <v>-566.23459800000001</v>
      </c>
      <c r="AM159" s="64">
        <v>158</v>
      </c>
      <c r="AN159" s="99">
        <v>2.6752099999999999</v>
      </c>
      <c r="AO159" s="100">
        <v>-8.9428999999999998</v>
      </c>
      <c r="AP159" s="99">
        <v>2.5697000000000001</v>
      </c>
      <c r="AQ159" s="99">
        <v>117</v>
      </c>
      <c r="AS159" s="64">
        <v>158</v>
      </c>
      <c r="AT159" s="99">
        <v>5.0892200000000001</v>
      </c>
      <c r="AU159" s="100">
        <v>-8.9428999999999998</v>
      </c>
      <c r="AV159" s="99">
        <v>2.5697000000000001</v>
      </c>
      <c r="AW159" s="99">
        <v>117</v>
      </c>
      <c r="BK159" s="64">
        <v>158</v>
      </c>
      <c r="BL159" s="99">
        <v>0.40655000000000002</v>
      </c>
      <c r="BM159" s="100">
        <v>-0.89219999999999999</v>
      </c>
      <c r="BN159" s="99">
        <v>0.20549999999999999</v>
      </c>
      <c r="BO159" s="99">
        <v>133</v>
      </c>
      <c r="BQ159" s="64">
        <v>158</v>
      </c>
      <c r="BR159" s="99">
        <v>0.21385999999999999</v>
      </c>
      <c r="BS159" s="100">
        <v>-0.89219999999999999</v>
      </c>
      <c r="BT159" s="99">
        <v>0.20549999999999999</v>
      </c>
      <c r="BU159" s="99">
        <v>133</v>
      </c>
      <c r="CJ159" s="64">
        <v>158</v>
      </c>
      <c r="CK159" s="99">
        <v>133.761</v>
      </c>
      <c r="CL159" s="100">
        <v>-447.14</v>
      </c>
      <c r="CM159" s="99">
        <v>128.49</v>
      </c>
      <c r="CN159" s="99">
        <v>117</v>
      </c>
      <c r="CP159" s="64">
        <v>158</v>
      </c>
      <c r="CQ159" s="99">
        <v>254.46100000000001</v>
      </c>
      <c r="CR159" s="100">
        <v>-447.14</v>
      </c>
      <c r="CS159" s="99">
        <v>128.49</v>
      </c>
      <c r="CT159" s="99">
        <v>117</v>
      </c>
    </row>
    <row r="160" spans="1:98" x14ac:dyDescent="0.25">
      <c r="A160" s="1">
        <v>17</v>
      </c>
      <c r="B160" s="1">
        <v>7</v>
      </c>
      <c r="C160">
        <v>12</v>
      </c>
      <c r="D160">
        <v>10</v>
      </c>
      <c r="E160" s="61">
        <v>4058.7693790665921</v>
      </c>
      <c r="F160" s="61">
        <v>81.175387581331847</v>
      </c>
      <c r="G160">
        <v>58.4</v>
      </c>
      <c r="H160" s="100">
        <v>-171.07126199999999</v>
      </c>
      <c r="V160" s="64">
        <v>159</v>
      </c>
      <c r="W160" s="99">
        <v>4299.0922970000001</v>
      </c>
      <c r="X160" s="99">
        <v>3891.9337230000001</v>
      </c>
      <c r="Y160" s="99">
        <v>407.15857399999999</v>
      </c>
      <c r="AM160" s="64">
        <v>159</v>
      </c>
      <c r="AN160" s="99">
        <v>2.7199399999999998</v>
      </c>
      <c r="AO160" s="100">
        <v>-2.68</v>
      </c>
      <c r="AP160" s="99">
        <v>2.6126999999999998</v>
      </c>
      <c r="AQ160" s="99">
        <v>117</v>
      </c>
      <c r="AS160" s="64">
        <v>159</v>
      </c>
      <c r="AT160" s="99">
        <v>5.1743100000000002</v>
      </c>
      <c r="AU160" s="100">
        <v>-2.68</v>
      </c>
      <c r="AV160" s="99">
        <v>2.6126999999999998</v>
      </c>
      <c r="AW160" s="99">
        <v>117</v>
      </c>
      <c r="BK160" s="64">
        <v>159</v>
      </c>
      <c r="BL160" s="99">
        <v>0.39995999999999998</v>
      </c>
      <c r="BM160" s="100">
        <v>-0.83150000000000002</v>
      </c>
      <c r="BN160" s="99">
        <v>0.20219999999999999</v>
      </c>
      <c r="BO160" s="99">
        <v>133</v>
      </c>
      <c r="BQ160" s="64">
        <v>159</v>
      </c>
      <c r="BR160" s="99">
        <v>0.21038999999999999</v>
      </c>
      <c r="BS160" s="100">
        <v>-0.83150000000000002</v>
      </c>
      <c r="BT160" s="99">
        <v>0.20219999999999999</v>
      </c>
      <c r="BU160" s="99">
        <v>133</v>
      </c>
      <c r="CJ160" s="64">
        <v>159</v>
      </c>
      <c r="CK160" s="99">
        <v>135.99700000000001</v>
      </c>
      <c r="CL160" s="100">
        <v>-134</v>
      </c>
      <c r="CM160" s="99">
        <v>130.63</v>
      </c>
      <c r="CN160" s="99">
        <v>117</v>
      </c>
      <c r="CP160" s="64">
        <v>159</v>
      </c>
      <c r="CQ160" s="99">
        <v>258.71600000000001</v>
      </c>
      <c r="CR160" s="100">
        <v>-134</v>
      </c>
      <c r="CS160" s="99">
        <v>130.63</v>
      </c>
      <c r="CT160" s="99">
        <v>117</v>
      </c>
    </row>
    <row r="161" spans="1:98" x14ac:dyDescent="0.25">
      <c r="A161" s="1">
        <v>20</v>
      </c>
      <c r="B161" s="1">
        <v>8</v>
      </c>
      <c r="C161">
        <v>15</v>
      </c>
      <c r="D161">
        <v>10</v>
      </c>
      <c r="E161" s="61">
        <v>4407.2455618925205</v>
      </c>
      <c r="F161" s="61">
        <v>88.144911237850408</v>
      </c>
      <c r="G161" s="61">
        <v>58.3</v>
      </c>
      <c r="H161" s="99">
        <v>76.065510000000003</v>
      </c>
      <c r="V161" s="64">
        <v>160</v>
      </c>
      <c r="W161" s="99">
        <v>4407.2455620000001</v>
      </c>
      <c r="X161" s="99">
        <v>4331.1800519999997</v>
      </c>
      <c r="Y161" s="99">
        <v>76.065510000000003</v>
      </c>
      <c r="AM161" s="64">
        <v>160</v>
      </c>
      <c r="AN161" s="99">
        <v>2.77251</v>
      </c>
      <c r="AO161" s="100">
        <v>-17.2546</v>
      </c>
      <c r="AP161" s="99">
        <v>2.6631999999999998</v>
      </c>
      <c r="AQ161" s="99">
        <v>117</v>
      </c>
      <c r="AS161" s="64">
        <v>160</v>
      </c>
      <c r="AT161" s="99">
        <v>5.2743200000000003</v>
      </c>
      <c r="AU161" s="100">
        <v>-17.2546</v>
      </c>
      <c r="AV161" s="99">
        <v>2.6631999999999998</v>
      </c>
      <c r="AW161" s="99">
        <v>117</v>
      </c>
      <c r="BK161" s="64">
        <v>160</v>
      </c>
      <c r="BL161" s="99">
        <v>0.40821000000000002</v>
      </c>
      <c r="BM161" s="100">
        <v>-0.87050000000000005</v>
      </c>
      <c r="BN161" s="99">
        <v>0.2064</v>
      </c>
      <c r="BO161" s="99">
        <v>133</v>
      </c>
      <c r="BQ161" s="64">
        <v>160</v>
      </c>
      <c r="BR161" s="99">
        <v>0.21473999999999999</v>
      </c>
      <c r="BS161" s="100">
        <v>-0.87050000000000005</v>
      </c>
      <c r="BT161" s="99">
        <v>0.2064</v>
      </c>
      <c r="BU161" s="99">
        <v>133</v>
      </c>
      <c r="CJ161" s="64">
        <v>160</v>
      </c>
      <c r="CK161" s="99">
        <v>138.626</v>
      </c>
      <c r="CL161" s="100">
        <v>-862.73</v>
      </c>
      <c r="CM161" s="99">
        <v>133.16</v>
      </c>
      <c r="CN161" s="99">
        <v>117</v>
      </c>
      <c r="CP161" s="64">
        <v>160</v>
      </c>
      <c r="CQ161" s="99">
        <v>263.71600000000001</v>
      </c>
      <c r="CR161" s="100">
        <v>-862.73</v>
      </c>
      <c r="CS161" s="99">
        <v>133.16</v>
      </c>
      <c r="CT161" s="99">
        <v>117</v>
      </c>
    </row>
    <row r="162" spans="1:98" x14ac:dyDescent="0.25">
      <c r="AM162" s="64">
        <v>161</v>
      </c>
      <c r="AN162" s="99">
        <v>2.7625899999999999</v>
      </c>
      <c r="AO162" s="100">
        <v>-15.8522</v>
      </c>
      <c r="AP162" s="99">
        <v>2.6537000000000002</v>
      </c>
      <c r="AQ162" s="99">
        <v>117</v>
      </c>
      <c r="AS162" s="64">
        <v>161</v>
      </c>
      <c r="AT162" s="99">
        <v>5.2554400000000001</v>
      </c>
      <c r="AU162" s="100">
        <v>-15.8522</v>
      </c>
      <c r="AV162" s="99">
        <v>2.6537000000000002</v>
      </c>
      <c r="AW162" s="99">
        <v>117</v>
      </c>
      <c r="BK162" s="64">
        <v>161</v>
      </c>
      <c r="BL162" s="99">
        <v>0.3992</v>
      </c>
      <c r="BM162" s="100">
        <v>-1.0293000000000001</v>
      </c>
      <c r="BN162" s="99">
        <v>0.20180000000000001</v>
      </c>
      <c r="BO162" s="99">
        <v>133</v>
      </c>
      <c r="BQ162" s="64">
        <v>161</v>
      </c>
      <c r="BR162" s="99">
        <v>0.20999000000000001</v>
      </c>
      <c r="BS162" s="100">
        <v>-1.0293000000000001</v>
      </c>
      <c r="BT162" s="99">
        <v>0.20180000000000001</v>
      </c>
      <c r="BU162" s="99">
        <v>133</v>
      </c>
      <c r="CJ162" s="64">
        <v>161</v>
      </c>
      <c r="CK162" s="99">
        <v>138.13</v>
      </c>
      <c r="CL162" s="100">
        <v>-792.61</v>
      </c>
      <c r="CM162" s="99">
        <v>132.68</v>
      </c>
      <c r="CN162" s="99">
        <v>117</v>
      </c>
      <c r="CP162" s="64">
        <v>161</v>
      </c>
      <c r="CQ162" s="99">
        <v>262.77199999999999</v>
      </c>
      <c r="CR162" s="100">
        <v>-792.61</v>
      </c>
      <c r="CS162" s="99">
        <v>132.68</v>
      </c>
      <c r="CT162" s="99">
        <v>117</v>
      </c>
    </row>
    <row r="163" spans="1:98" x14ac:dyDescent="0.25">
      <c r="AM163" s="64">
        <v>162</v>
      </c>
      <c r="AN163" s="99">
        <v>2.7225700000000002</v>
      </c>
      <c r="AO163" s="100">
        <v>-0.60509999999999997</v>
      </c>
      <c r="AP163" s="99">
        <v>2.6152000000000002</v>
      </c>
      <c r="AQ163" s="99">
        <v>117</v>
      </c>
      <c r="AS163" s="64">
        <v>162</v>
      </c>
      <c r="AT163" s="99">
        <v>5.1793199999999997</v>
      </c>
      <c r="AU163" s="100">
        <v>-0.60509999999999997</v>
      </c>
      <c r="AV163" s="99">
        <v>2.6152000000000002</v>
      </c>
      <c r="AW163" s="99">
        <v>117</v>
      </c>
      <c r="BK163" s="64">
        <v>162</v>
      </c>
      <c r="BL163" s="99">
        <v>0.40954000000000002</v>
      </c>
      <c r="BM163" s="100">
        <v>-0.84440000000000004</v>
      </c>
      <c r="BN163" s="99">
        <v>0.20699999999999999</v>
      </c>
      <c r="BO163" s="99">
        <v>133</v>
      </c>
      <c r="BQ163" s="64">
        <v>162</v>
      </c>
      <c r="BR163" s="99">
        <v>0.21543000000000001</v>
      </c>
      <c r="BS163" s="100">
        <v>-0.84440000000000004</v>
      </c>
      <c r="BT163" s="99">
        <v>0.20699999999999999</v>
      </c>
      <c r="BU163" s="99">
        <v>133</v>
      </c>
      <c r="CJ163" s="64">
        <v>162</v>
      </c>
      <c r="CK163" s="99">
        <v>136.12899999999999</v>
      </c>
      <c r="CL163" s="100">
        <v>-30.2561</v>
      </c>
      <c r="CM163" s="99">
        <v>130.76</v>
      </c>
      <c r="CN163" s="99">
        <v>117</v>
      </c>
      <c r="CP163" s="64">
        <v>162</v>
      </c>
      <c r="CQ163" s="99">
        <v>258.96600000000001</v>
      </c>
      <c r="CR163" s="100">
        <v>-30.2561</v>
      </c>
      <c r="CS163" s="99">
        <v>130.76</v>
      </c>
      <c r="CT163" s="99">
        <v>117</v>
      </c>
    </row>
    <row r="164" spans="1:98" x14ac:dyDescent="0.25">
      <c r="AM164" s="64">
        <v>163</v>
      </c>
      <c r="AN164" s="99">
        <v>2.7574200000000002</v>
      </c>
      <c r="AO164" s="100">
        <v>-3.8607</v>
      </c>
      <c r="AP164" s="99">
        <v>2.6486999999999998</v>
      </c>
      <c r="AQ164" s="99">
        <v>117</v>
      </c>
      <c r="AS164" s="64">
        <v>163</v>
      </c>
      <c r="AT164" s="99">
        <v>5.2456100000000001</v>
      </c>
      <c r="AU164" s="100">
        <v>-3.8607</v>
      </c>
      <c r="AV164" s="99">
        <v>2.6486999999999998</v>
      </c>
      <c r="AW164" s="99">
        <v>117</v>
      </c>
      <c r="BK164" s="64">
        <v>163</v>
      </c>
      <c r="BL164" s="99">
        <v>0.40505000000000002</v>
      </c>
      <c r="BM164" s="100">
        <v>-0.71</v>
      </c>
      <c r="BN164" s="99">
        <v>0.20480000000000001</v>
      </c>
      <c r="BO164" s="99">
        <v>133</v>
      </c>
      <c r="BQ164" s="64">
        <v>163</v>
      </c>
      <c r="BR164" s="99">
        <v>0.21307000000000001</v>
      </c>
      <c r="BS164" s="100">
        <v>-0.71</v>
      </c>
      <c r="BT164" s="99">
        <v>0.20480000000000001</v>
      </c>
      <c r="BU164" s="99">
        <v>133</v>
      </c>
      <c r="CJ164" s="64">
        <v>163</v>
      </c>
      <c r="CK164" s="99">
        <v>137.87100000000001</v>
      </c>
      <c r="CL164" s="100">
        <v>-193.04</v>
      </c>
      <c r="CM164" s="99">
        <v>132.43</v>
      </c>
      <c r="CN164" s="99">
        <v>117</v>
      </c>
      <c r="CP164" s="64">
        <v>163</v>
      </c>
      <c r="CQ164" s="99">
        <v>262.27999999999997</v>
      </c>
      <c r="CR164" s="100">
        <v>-193.04</v>
      </c>
      <c r="CS164" s="99">
        <v>132.43</v>
      </c>
      <c r="CT164" s="99">
        <v>117</v>
      </c>
    </row>
    <row r="165" spans="1:98" x14ac:dyDescent="0.25">
      <c r="AM165" s="64">
        <v>164</v>
      </c>
      <c r="AN165" s="99">
        <v>2.8444799999999999</v>
      </c>
      <c r="AO165" s="100">
        <v>-18.1187</v>
      </c>
      <c r="AP165" s="99">
        <v>2.7323</v>
      </c>
      <c r="AQ165" s="99">
        <v>117</v>
      </c>
      <c r="AS165" s="64">
        <v>164</v>
      </c>
      <c r="AT165" s="99">
        <v>5.4112200000000001</v>
      </c>
      <c r="AU165" s="100">
        <v>-18.1187</v>
      </c>
      <c r="AV165" s="99">
        <v>2.7323</v>
      </c>
      <c r="AW165" s="99">
        <v>117</v>
      </c>
      <c r="BK165" s="64">
        <v>164</v>
      </c>
      <c r="BL165" s="99">
        <v>0.41259000000000001</v>
      </c>
      <c r="BM165" s="100">
        <v>-1.0069999999999999</v>
      </c>
      <c r="BN165" s="99">
        <v>0.20860000000000001</v>
      </c>
      <c r="BO165" s="99">
        <v>133</v>
      </c>
      <c r="BQ165" s="64">
        <v>164</v>
      </c>
      <c r="BR165" s="99">
        <v>0.21704000000000001</v>
      </c>
      <c r="BS165" s="100">
        <v>-1.0069999999999999</v>
      </c>
      <c r="BT165" s="99">
        <v>0.20860000000000001</v>
      </c>
      <c r="BU165" s="99">
        <v>133</v>
      </c>
      <c r="CJ165" s="64">
        <v>164</v>
      </c>
      <c r="CK165" s="99">
        <v>142.22399999999999</v>
      </c>
      <c r="CL165" s="100">
        <v>-905.93</v>
      </c>
      <c r="CM165" s="99">
        <v>136.62</v>
      </c>
      <c r="CN165" s="99">
        <v>117</v>
      </c>
      <c r="CP165" s="64">
        <v>164</v>
      </c>
      <c r="CQ165" s="99">
        <v>270.56099999999998</v>
      </c>
      <c r="CR165" s="100">
        <v>-905.93</v>
      </c>
      <c r="CS165" s="99">
        <v>136.62</v>
      </c>
      <c r="CT165" s="99">
        <v>117</v>
      </c>
    </row>
    <row r="166" spans="1:98" x14ac:dyDescent="0.25">
      <c r="AM166" s="64">
        <v>165</v>
      </c>
      <c r="AN166" s="99">
        <v>2.7209300000000001</v>
      </c>
      <c r="AO166" s="100">
        <v>-14.530200000000001</v>
      </c>
      <c r="AP166" s="99">
        <v>2.6135999999999999</v>
      </c>
      <c r="AQ166" s="99">
        <v>117</v>
      </c>
      <c r="AS166" s="64">
        <v>165</v>
      </c>
      <c r="AT166" s="99">
        <v>5.1761900000000001</v>
      </c>
      <c r="AU166" s="100">
        <v>-14.530200000000001</v>
      </c>
      <c r="AV166" s="99">
        <v>2.6135999999999999</v>
      </c>
      <c r="AW166" s="99">
        <v>117</v>
      </c>
      <c r="BK166" s="64">
        <v>165</v>
      </c>
      <c r="BL166" s="99">
        <v>0.40478999999999998</v>
      </c>
      <c r="BM166" s="100">
        <v>-0.88419999999999999</v>
      </c>
      <c r="BN166" s="99">
        <v>0.2046</v>
      </c>
      <c r="BO166" s="99">
        <v>133</v>
      </c>
      <c r="BQ166" s="64">
        <v>165</v>
      </c>
      <c r="BR166" s="99">
        <v>0.21293999999999999</v>
      </c>
      <c r="BS166" s="100">
        <v>-0.88419999999999999</v>
      </c>
      <c r="BT166" s="99">
        <v>0.2046</v>
      </c>
      <c r="BU166" s="99">
        <v>133</v>
      </c>
      <c r="CJ166" s="64">
        <v>165</v>
      </c>
      <c r="CK166" s="99">
        <v>136.047</v>
      </c>
      <c r="CL166" s="100">
        <v>-726.51</v>
      </c>
      <c r="CM166" s="99">
        <v>130.68</v>
      </c>
      <c r="CN166" s="99">
        <v>117</v>
      </c>
      <c r="CP166" s="64">
        <v>165</v>
      </c>
      <c r="CQ166" s="99">
        <v>258.81</v>
      </c>
      <c r="CR166" s="100">
        <v>-726.51</v>
      </c>
      <c r="CS166" s="99">
        <v>130.68</v>
      </c>
      <c r="CT166" s="99">
        <v>117</v>
      </c>
    </row>
    <row r="167" spans="1:98" x14ac:dyDescent="0.25">
      <c r="AM167" s="64">
        <v>166</v>
      </c>
      <c r="AN167" s="99">
        <v>2.7521300000000002</v>
      </c>
      <c r="AO167" s="100">
        <v>-8.2673000000000005</v>
      </c>
      <c r="AP167" s="99">
        <v>2.6436000000000002</v>
      </c>
      <c r="AQ167" s="99">
        <v>117</v>
      </c>
      <c r="AS167" s="64">
        <v>166</v>
      </c>
      <c r="AT167" s="99">
        <v>5.2355499999999999</v>
      </c>
      <c r="AU167" s="100">
        <v>-8.2673000000000005</v>
      </c>
      <c r="AV167" s="99">
        <v>2.6436000000000002</v>
      </c>
      <c r="AW167" s="99">
        <v>117</v>
      </c>
      <c r="BK167" s="64">
        <v>166</v>
      </c>
      <c r="BL167" s="99">
        <v>0.40283000000000002</v>
      </c>
      <c r="BM167" s="100">
        <v>-0.8236</v>
      </c>
      <c r="BN167" s="99">
        <v>0.20369999999999999</v>
      </c>
      <c r="BO167" s="99">
        <v>133</v>
      </c>
      <c r="BQ167" s="64">
        <v>166</v>
      </c>
      <c r="BR167" s="99">
        <v>0.21190999999999999</v>
      </c>
      <c r="BS167" s="100">
        <v>-0.8236</v>
      </c>
      <c r="BT167" s="99">
        <v>0.20369999999999999</v>
      </c>
      <c r="BU167" s="99">
        <v>133</v>
      </c>
      <c r="CJ167" s="64">
        <v>166</v>
      </c>
      <c r="CK167" s="99">
        <v>137.607</v>
      </c>
      <c r="CL167" s="100">
        <v>-413.36</v>
      </c>
      <c r="CM167" s="99">
        <v>132.18</v>
      </c>
      <c r="CN167" s="99">
        <v>117</v>
      </c>
      <c r="CP167" s="64">
        <v>166</v>
      </c>
      <c r="CQ167" s="99">
        <v>261.77699999999999</v>
      </c>
      <c r="CR167" s="100">
        <v>-413.36</v>
      </c>
      <c r="CS167" s="99">
        <v>132.18</v>
      </c>
      <c r="CT167" s="99">
        <v>117</v>
      </c>
    </row>
    <row r="168" spans="1:98" x14ac:dyDescent="0.25">
      <c r="AM168" s="64">
        <v>167</v>
      </c>
      <c r="AN168" s="99">
        <v>2.80558</v>
      </c>
      <c r="AO168" s="100">
        <v>-22.841899999999999</v>
      </c>
      <c r="AP168" s="99">
        <v>2.6949999999999998</v>
      </c>
      <c r="AQ168" s="99">
        <v>117</v>
      </c>
      <c r="AS168" s="64">
        <v>167</v>
      </c>
      <c r="AT168" s="99">
        <v>5.3372200000000003</v>
      </c>
      <c r="AU168" s="100">
        <v>-22.841899999999999</v>
      </c>
      <c r="AV168" s="99">
        <v>2.6949999999999998</v>
      </c>
      <c r="AW168" s="99">
        <v>117</v>
      </c>
      <c r="BK168" s="64">
        <v>167</v>
      </c>
      <c r="BL168" s="99">
        <v>0.41404000000000002</v>
      </c>
      <c r="BM168" s="100">
        <v>-0.86250000000000004</v>
      </c>
      <c r="BN168" s="99">
        <v>0.20930000000000001</v>
      </c>
      <c r="BO168" s="99">
        <v>133</v>
      </c>
      <c r="BQ168" s="64">
        <v>167</v>
      </c>
      <c r="BR168" s="99">
        <v>0.21779999999999999</v>
      </c>
      <c r="BS168" s="100">
        <v>-0.86250000000000004</v>
      </c>
      <c r="BT168" s="99">
        <v>0.20930000000000001</v>
      </c>
      <c r="BU168" s="99">
        <v>133</v>
      </c>
      <c r="CJ168" s="64">
        <v>167</v>
      </c>
      <c r="CK168" s="99">
        <v>140.279</v>
      </c>
      <c r="CL168" s="100">
        <v>-1142.0999999999999</v>
      </c>
      <c r="CM168" s="99">
        <v>134.75</v>
      </c>
      <c r="CN168" s="99">
        <v>117</v>
      </c>
      <c r="CP168" s="64">
        <v>167</v>
      </c>
      <c r="CQ168" s="99">
        <v>266.86099999999999</v>
      </c>
      <c r="CR168" s="100">
        <v>-1142.0999999999999</v>
      </c>
      <c r="CS168" s="99">
        <v>134.75</v>
      </c>
      <c r="CT168" s="99">
        <v>117</v>
      </c>
    </row>
    <row r="169" spans="1:98" x14ac:dyDescent="0.25">
      <c r="AM169" s="64">
        <v>168</v>
      </c>
      <c r="AN169" s="99">
        <v>2.7003400000000002</v>
      </c>
      <c r="AO169" s="100">
        <v>-21.439499999999999</v>
      </c>
      <c r="AP169" s="99">
        <v>2.5939000000000001</v>
      </c>
      <c r="AQ169" s="99">
        <v>117</v>
      </c>
      <c r="AS169" s="64">
        <v>168</v>
      </c>
      <c r="AT169" s="99">
        <v>5.1370199999999997</v>
      </c>
      <c r="AU169" s="100">
        <v>-21.439499999999999</v>
      </c>
      <c r="AV169" s="99">
        <v>2.5939000000000001</v>
      </c>
      <c r="AW169" s="99">
        <v>117</v>
      </c>
      <c r="BK169" s="64">
        <v>168</v>
      </c>
      <c r="BL169" s="99">
        <v>0.39748</v>
      </c>
      <c r="BM169" s="100">
        <v>-1.0213000000000001</v>
      </c>
      <c r="BN169" s="99">
        <v>0.20100000000000001</v>
      </c>
      <c r="BO169" s="99">
        <v>133</v>
      </c>
      <c r="BQ169" s="64">
        <v>168</v>
      </c>
      <c r="BR169" s="99">
        <v>0.20909</v>
      </c>
      <c r="BS169" s="100">
        <v>-1.0213000000000001</v>
      </c>
      <c r="BT169" s="99">
        <v>0.20100000000000001</v>
      </c>
      <c r="BU169" s="99">
        <v>133</v>
      </c>
      <c r="CJ169" s="64">
        <v>168</v>
      </c>
      <c r="CK169" s="99">
        <v>135.017</v>
      </c>
      <c r="CL169" s="100">
        <v>-1071.98</v>
      </c>
      <c r="CM169" s="99">
        <v>129.69</v>
      </c>
      <c r="CN169" s="99">
        <v>117</v>
      </c>
      <c r="CP169" s="64">
        <v>168</v>
      </c>
      <c r="CQ169" s="99">
        <v>256.851</v>
      </c>
      <c r="CR169" s="100">
        <v>-1071.98</v>
      </c>
      <c r="CS169" s="99">
        <v>129.69</v>
      </c>
      <c r="CT169" s="99">
        <v>117</v>
      </c>
    </row>
    <row r="170" spans="1:98" x14ac:dyDescent="0.25">
      <c r="AM170" s="64">
        <v>169</v>
      </c>
      <c r="AN170" s="99">
        <v>2.7033200000000002</v>
      </c>
      <c r="AO170" s="100">
        <v>-6.1924999999999999</v>
      </c>
      <c r="AP170" s="99">
        <v>2.5966999999999998</v>
      </c>
      <c r="AQ170" s="99">
        <v>117</v>
      </c>
      <c r="AS170" s="64">
        <v>169</v>
      </c>
      <c r="AT170" s="99">
        <v>5.14269</v>
      </c>
      <c r="AU170" s="100">
        <v>-6.1924999999999999</v>
      </c>
      <c r="AV170" s="99">
        <v>2.5966999999999998</v>
      </c>
      <c r="AW170" s="99">
        <v>117</v>
      </c>
      <c r="BK170" s="64">
        <v>169</v>
      </c>
      <c r="BL170" s="99">
        <v>0.4047</v>
      </c>
      <c r="BM170" s="100">
        <v>-0.83650000000000002</v>
      </c>
      <c r="BN170" s="99">
        <v>0.2046</v>
      </c>
      <c r="BO170" s="99">
        <v>133</v>
      </c>
      <c r="BQ170" s="64">
        <v>169</v>
      </c>
      <c r="BR170" s="99">
        <v>0.21289</v>
      </c>
      <c r="BS170" s="100">
        <v>-0.83650000000000002</v>
      </c>
      <c r="BT170" s="99">
        <v>0.2046</v>
      </c>
      <c r="BU170" s="99">
        <v>133</v>
      </c>
      <c r="CJ170" s="64">
        <v>169</v>
      </c>
      <c r="CK170" s="99">
        <v>135.166</v>
      </c>
      <c r="CL170" s="100">
        <v>-309.62</v>
      </c>
      <c r="CM170" s="99">
        <v>129.84</v>
      </c>
      <c r="CN170" s="99">
        <v>117</v>
      </c>
      <c r="CP170" s="64">
        <v>169</v>
      </c>
      <c r="CQ170" s="99">
        <v>257.13499999999999</v>
      </c>
      <c r="CR170" s="100">
        <v>-309.62</v>
      </c>
      <c r="CS170" s="99">
        <v>129.84</v>
      </c>
      <c r="CT170" s="99">
        <v>117</v>
      </c>
    </row>
    <row r="171" spans="1:98" x14ac:dyDescent="0.25">
      <c r="AM171" s="64">
        <v>170</v>
      </c>
      <c r="AN171" s="99">
        <v>2.7293099999999999</v>
      </c>
      <c r="AO171" s="100">
        <v>-14.257899999999999</v>
      </c>
      <c r="AP171" s="99">
        <v>2.6217000000000001</v>
      </c>
      <c r="AQ171" s="99">
        <v>117</v>
      </c>
      <c r="AS171" s="64">
        <v>170</v>
      </c>
      <c r="AT171" s="99">
        <v>5.1921400000000002</v>
      </c>
      <c r="AU171" s="100">
        <v>-14.257899999999999</v>
      </c>
      <c r="AV171" s="99">
        <v>2.6217000000000001</v>
      </c>
      <c r="AW171" s="99">
        <v>117</v>
      </c>
      <c r="BK171" s="64">
        <v>170</v>
      </c>
      <c r="BL171" s="99">
        <v>0.40544999999999998</v>
      </c>
      <c r="BM171" s="100">
        <v>-0.29699999999999999</v>
      </c>
      <c r="BN171" s="99">
        <v>0.20499999999999999</v>
      </c>
      <c r="BO171" s="99">
        <v>133</v>
      </c>
      <c r="BQ171" s="64">
        <v>170</v>
      </c>
      <c r="BR171" s="99">
        <v>0.21328</v>
      </c>
      <c r="BS171" s="100">
        <v>-0.29699999999999999</v>
      </c>
      <c r="BT171" s="99">
        <v>0.20499999999999999</v>
      </c>
      <c r="BU171" s="99">
        <v>133</v>
      </c>
      <c r="CJ171" s="64">
        <v>170</v>
      </c>
      <c r="CK171" s="99">
        <v>136.46600000000001</v>
      </c>
      <c r="CL171" s="100">
        <v>-712.9</v>
      </c>
      <c r="CM171" s="99">
        <v>131.08000000000001</v>
      </c>
      <c r="CN171" s="99">
        <v>117</v>
      </c>
      <c r="CP171" s="64">
        <v>170</v>
      </c>
      <c r="CQ171" s="99">
        <v>259.60700000000003</v>
      </c>
      <c r="CR171" s="100">
        <v>-712.9</v>
      </c>
      <c r="CS171" s="99">
        <v>131.08000000000001</v>
      </c>
      <c r="CT171" s="99">
        <v>117</v>
      </c>
    </row>
    <row r="172" spans="1:98" x14ac:dyDescent="0.25">
      <c r="AM172" s="64">
        <v>171</v>
      </c>
      <c r="AN172" s="99">
        <v>2.7195900000000002</v>
      </c>
      <c r="AO172" s="100">
        <v>-10.669499999999999</v>
      </c>
      <c r="AP172" s="99">
        <v>2.6124000000000001</v>
      </c>
      <c r="AQ172" s="99">
        <v>117</v>
      </c>
      <c r="AS172" s="64">
        <v>171</v>
      </c>
      <c r="AT172" s="99">
        <v>5.1736399999999998</v>
      </c>
      <c r="AU172" s="100">
        <v>-10.669499999999999</v>
      </c>
      <c r="AV172" s="99">
        <v>2.6124000000000001</v>
      </c>
      <c r="AW172" s="99">
        <v>117</v>
      </c>
      <c r="BK172" s="64">
        <v>171</v>
      </c>
      <c r="BL172" s="99">
        <v>0.40626000000000001</v>
      </c>
      <c r="BM172" s="100">
        <v>-0.17419999999999999</v>
      </c>
      <c r="BN172" s="99">
        <v>0.2054</v>
      </c>
      <c r="BO172" s="99">
        <v>133</v>
      </c>
      <c r="BQ172" s="64">
        <v>171</v>
      </c>
      <c r="BR172" s="99">
        <v>0.21371000000000001</v>
      </c>
      <c r="BS172" s="100">
        <v>-0.17419999999999999</v>
      </c>
      <c r="BT172" s="99">
        <v>0.2054</v>
      </c>
      <c r="BU172" s="99">
        <v>133</v>
      </c>
      <c r="CJ172" s="64">
        <v>171</v>
      </c>
      <c r="CK172" s="99">
        <v>135.97999999999999</v>
      </c>
      <c r="CL172" s="100">
        <v>-533.47</v>
      </c>
      <c r="CM172" s="99">
        <v>130.62</v>
      </c>
      <c r="CN172" s="99">
        <v>117</v>
      </c>
      <c r="CP172" s="64">
        <v>171</v>
      </c>
      <c r="CQ172" s="99">
        <v>258.68200000000002</v>
      </c>
      <c r="CR172" s="100">
        <v>-533.47</v>
      </c>
      <c r="CS172" s="99">
        <v>130.62</v>
      </c>
      <c r="CT172" s="99">
        <v>117</v>
      </c>
    </row>
    <row r="173" spans="1:98" x14ac:dyDescent="0.25">
      <c r="AM173" s="64">
        <v>172</v>
      </c>
      <c r="AN173" s="99">
        <v>2.6703899999999998</v>
      </c>
      <c r="AO173" s="100">
        <v>-4.4066000000000001</v>
      </c>
      <c r="AP173" s="99">
        <v>2.5651000000000002</v>
      </c>
      <c r="AQ173" s="99">
        <v>117</v>
      </c>
      <c r="AS173" s="64">
        <v>172</v>
      </c>
      <c r="AT173" s="99">
        <v>5.0800400000000003</v>
      </c>
      <c r="AU173" s="100">
        <v>-4.4066000000000001</v>
      </c>
      <c r="AV173" s="99">
        <v>2.5651000000000002</v>
      </c>
      <c r="AW173" s="99">
        <v>117</v>
      </c>
      <c r="BK173" s="64">
        <v>172</v>
      </c>
      <c r="BL173" s="99">
        <v>0.39944000000000002</v>
      </c>
      <c r="BM173" s="100">
        <v>-0.11360000000000001</v>
      </c>
      <c r="BN173" s="99">
        <v>0.2019</v>
      </c>
      <c r="BO173" s="99">
        <v>133</v>
      </c>
      <c r="BQ173" s="64">
        <v>172</v>
      </c>
      <c r="BR173" s="99">
        <v>0.21012</v>
      </c>
      <c r="BS173" s="100">
        <v>-0.11360000000000001</v>
      </c>
      <c r="BT173" s="99">
        <v>0.2019</v>
      </c>
      <c r="BU173" s="99">
        <v>133</v>
      </c>
      <c r="CJ173" s="64">
        <v>172</v>
      </c>
      <c r="CK173" s="99">
        <v>133.51900000000001</v>
      </c>
      <c r="CL173" s="100">
        <v>-220.33</v>
      </c>
      <c r="CM173" s="99">
        <v>128.25</v>
      </c>
      <c r="CN173" s="99">
        <v>117</v>
      </c>
      <c r="CP173" s="64">
        <v>172</v>
      </c>
      <c r="CQ173" s="99">
        <v>254.00200000000001</v>
      </c>
      <c r="CR173" s="100">
        <v>-220.33</v>
      </c>
      <c r="CS173" s="99">
        <v>128.25</v>
      </c>
      <c r="CT173" s="99">
        <v>117</v>
      </c>
    </row>
    <row r="174" spans="1:98" x14ac:dyDescent="0.25">
      <c r="AM174" s="64">
        <v>173</v>
      </c>
      <c r="AN174" s="99">
        <v>2.6608100000000001</v>
      </c>
      <c r="AO174" s="100">
        <v>-18.981200000000001</v>
      </c>
      <c r="AP174" s="99">
        <v>2.5558999999999998</v>
      </c>
      <c r="AQ174" s="99">
        <v>117</v>
      </c>
      <c r="AS174" s="64">
        <v>173</v>
      </c>
      <c r="AT174" s="99">
        <v>5.06182</v>
      </c>
      <c r="AU174" s="100">
        <v>-18.981200000000001</v>
      </c>
      <c r="AV174" s="99">
        <v>2.5558999999999998</v>
      </c>
      <c r="AW174" s="99">
        <v>117</v>
      </c>
      <c r="BK174" s="64">
        <v>173</v>
      </c>
      <c r="BL174" s="99">
        <v>0.39794000000000002</v>
      </c>
      <c r="BM174" s="100">
        <v>-0.15260000000000001</v>
      </c>
      <c r="BN174" s="99">
        <v>0.20119999999999999</v>
      </c>
      <c r="BO174" s="99">
        <v>133</v>
      </c>
      <c r="BQ174" s="64">
        <v>173</v>
      </c>
      <c r="BR174" s="99">
        <v>0.20932999999999999</v>
      </c>
      <c r="BS174" s="100">
        <v>-0.15260000000000001</v>
      </c>
      <c r="BT174" s="99">
        <v>0.20119999999999999</v>
      </c>
      <c r="BU174" s="99">
        <v>133</v>
      </c>
      <c r="CJ174" s="64">
        <v>173</v>
      </c>
      <c r="CK174" s="99">
        <v>133.041</v>
      </c>
      <c r="CL174" s="100">
        <v>-949.06</v>
      </c>
      <c r="CM174" s="99">
        <v>127.79</v>
      </c>
      <c r="CN174" s="99">
        <v>117</v>
      </c>
      <c r="CP174" s="64">
        <v>173</v>
      </c>
      <c r="CQ174" s="99">
        <v>253.09100000000001</v>
      </c>
      <c r="CR174" s="100">
        <v>-949.06</v>
      </c>
      <c r="CS174" s="99">
        <v>127.79</v>
      </c>
      <c r="CT174" s="99">
        <v>117</v>
      </c>
    </row>
    <row r="175" spans="1:98" x14ac:dyDescent="0.25">
      <c r="AM175" s="64">
        <v>174</v>
      </c>
      <c r="AN175" s="99">
        <v>2.7210000000000001</v>
      </c>
      <c r="AO175" s="100">
        <v>-17.578800000000001</v>
      </c>
      <c r="AP175" s="99">
        <v>2.6137000000000001</v>
      </c>
      <c r="AQ175" s="99">
        <v>117</v>
      </c>
      <c r="AS175" s="64">
        <v>174</v>
      </c>
      <c r="AT175" s="99">
        <v>5.1763300000000001</v>
      </c>
      <c r="AU175" s="100">
        <v>-17.578800000000001</v>
      </c>
      <c r="AV175" s="99">
        <v>2.6137000000000001</v>
      </c>
      <c r="AW175" s="99">
        <v>117</v>
      </c>
      <c r="BK175" s="64">
        <v>174</v>
      </c>
      <c r="BL175" s="99">
        <v>0.40006000000000003</v>
      </c>
      <c r="BM175" s="100">
        <v>-0.31130000000000002</v>
      </c>
      <c r="BN175" s="99">
        <v>0.20230000000000001</v>
      </c>
      <c r="BO175" s="99">
        <v>133</v>
      </c>
      <c r="BQ175" s="64">
        <v>174</v>
      </c>
      <c r="BR175" s="99">
        <v>0.21045</v>
      </c>
      <c r="BS175" s="100">
        <v>-0.31130000000000002</v>
      </c>
      <c r="BT175" s="99">
        <v>0.20230000000000001</v>
      </c>
      <c r="BU175" s="99">
        <v>133</v>
      </c>
      <c r="CJ175" s="64">
        <v>174</v>
      </c>
      <c r="CK175" s="99">
        <v>136.05000000000001</v>
      </c>
      <c r="CL175" s="100">
        <v>-878.94</v>
      </c>
      <c r="CM175" s="99">
        <v>130.69</v>
      </c>
      <c r="CN175" s="99">
        <v>117</v>
      </c>
      <c r="CP175" s="64">
        <v>174</v>
      </c>
      <c r="CQ175" s="99">
        <v>258.81599999999997</v>
      </c>
      <c r="CR175" s="100">
        <v>-878.94</v>
      </c>
      <c r="CS175" s="99">
        <v>130.69</v>
      </c>
      <c r="CT175" s="99">
        <v>117</v>
      </c>
    </row>
    <row r="176" spans="1:98" x14ac:dyDescent="0.25">
      <c r="AM176" s="64">
        <v>175</v>
      </c>
      <c r="AN176" s="99">
        <v>2.5956199999999998</v>
      </c>
      <c r="AO176" s="100">
        <v>-2.3317000000000001</v>
      </c>
      <c r="AP176" s="99">
        <v>2.4933000000000001</v>
      </c>
      <c r="AQ176" s="99">
        <v>117</v>
      </c>
      <c r="AS176" s="64">
        <v>175</v>
      </c>
      <c r="AT176" s="99">
        <v>4.9378099999999998</v>
      </c>
      <c r="AU176" s="100">
        <v>-2.3317000000000001</v>
      </c>
      <c r="AV176" s="99">
        <v>2.4933000000000001</v>
      </c>
      <c r="AW176" s="99">
        <v>117</v>
      </c>
      <c r="BK176" s="64">
        <v>175</v>
      </c>
      <c r="BL176" s="99">
        <v>0.40261000000000002</v>
      </c>
      <c r="BM176" s="100">
        <v>-0.1265</v>
      </c>
      <c r="BN176" s="99">
        <v>0.2036</v>
      </c>
      <c r="BO176" s="99">
        <v>133</v>
      </c>
      <c r="BQ176" s="64">
        <v>175</v>
      </c>
      <c r="BR176" s="99">
        <v>0.21179000000000001</v>
      </c>
      <c r="BS176" s="100">
        <v>-0.1265</v>
      </c>
      <c r="BT176" s="99">
        <v>0.2036</v>
      </c>
      <c r="BU176" s="99">
        <v>133</v>
      </c>
      <c r="CJ176" s="64">
        <v>175</v>
      </c>
      <c r="CK176" s="99">
        <v>129.78100000000001</v>
      </c>
      <c r="CL176" s="100">
        <v>-116.59</v>
      </c>
      <c r="CM176" s="99">
        <v>124.66</v>
      </c>
      <c r="CN176" s="99">
        <v>117</v>
      </c>
      <c r="CP176" s="64">
        <v>175</v>
      </c>
      <c r="CQ176" s="99">
        <v>246.89</v>
      </c>
      <c r="CR176" s="100">
        <v>-116.59</v>
      </c>
      <c r="CS176" s="99">
        <v>124.66</v>
      </c>
      <c r="CT176" s="99">
        <v>117</v>
      </c>
    </row>
    <row r="177" spans="39:98" x14ac:dyDescent="0.25">
      <c r="AM177" s="64">
        <v>176</v>
      </c>
      <c r="AN177" s="99">
        <v>2.6976499999999999</v>
      </c>
      <c r="AO177" s="99">
        <v>3.5884999999999998</v>
      </c>
      <c r="AP177" s="99">
        <v>2.5912999999999999</v>
      </c>
      <c r="AQ177" s="99">
        <v>117</v>
      </c>
      <c r="AS177" s="64">
        <v>176</v>
      </c>
      <c r="AT177" s="99">
        <v>5.1318999999999999</v>
      </c>
      <c r="AU177" s="99">
        <v>3.5884999999999998</v>
      </c>
      <c r="AV177" s="99">
        <v>2.5912999999999999</v>
      </c>
      <c r="AW177" s="99">
        <v>117</v>
      </c>
      <c r="BK177" s="64">
        <v>176</v>
      </c>
      <c r="BL177" s="99">
        <v>0.39905000000000002</v>
      </c>
      <c r="BM177" s="99">
        <v>0.12280000000000001</v>
      </c>
      <c r="BN177" s="99">
        <v>0.20169999999999999</v>
      </c>
      <c r="BO177" s="99">
        <v>133</v>
      </c>
      <c r="BQ177" s="64">
        <v>176</v>
      </c>
      <c r="BR177" s="99">
        <v>0.20991000000000001</v>
      </c>
      <c r="BS177" s="99">
        <v>0.12280000000000001</v>
      </c>
      <c r="BT177" s="99">
        <v>0.20169999999999999</v>
      </c>
      <c r="BU177" s="99">
        <v>133</v>
      </c>
      <c r="CJ177" s="64">
        <v>176</v>
      </c>
      <c r="CK177" s="99">
        <v>134.88200000000001</v>
      </c>
      <c r="CL177" s="99">
        <v>179.42</v>
      </c>
      <c r="CM177" s="99">
        <v>129.56</v>
      </c>
      <c r="CN177" s="99">
        <v>117</v>
      </c>
      <c r="CP177" s="64">
        <v>176</v>
      </c>
      <c r="CQ177" s="99">
        <v>256.59500000000003</v>
      </c>
      <c r="CR177" s="99">
        <v>179.42</v>
      </c>
      <c r="CS177" s="99">
        <v>129.56</v>
      </c>
      <c r="CT177" s="99">
        <v>117</v>
      </c>
    </row>
    <row r="178" spans="39:98" x14ac:dyDescent="0.25">
      <c r="AM178" s="64">
        <v>177</v>
      </c>
      <c r="AN178" s="99">
        <v>2.6858300000000002</v>
      </c>
      <c r="AO178" s="99">
        <v>9.8513999999999999</v>
      </c>
      <c r="AP178" s="99">
        <v>2.5798999999999999</v>
      </c>
      <c r="AQ178" s="99">
        <v>117</v>
      </c>
      <c r="AS178" s="64">
        <v>177</v>
      </c>
      <c r="AT178" s="99">
        <v>5.1094099999999996</v>
      </c>
      <c r="AU178" s="99">
        <v>9.8513999999999999</v>
      </c>
      <c r="AV178" s="99">
        <v>2.5798999999999999</v>
      </c>
      <c r="AW178" s="99">
        <v>117</v>
      </c>
      <c r="BK178" s="64">
        <v>177</v>
      </c>
      <c r="BL178" s="99">
        <v>0.39911999999999997</v>
      </c>
      <c r="BM178" s="99">
        <v>0.18340000000000001</v>
      </c>
      <c r="BN178" s="99">
        <v>0.20180000000000001</v>
      </c>
      <c r="BO178" s="99">
        <v>133</v>
      </c>
      <c r="BQ178" s="64">
        <v>177</v>
      </c>
      <c r="BR178" s="99">
        <v>0.20996000000000001</v>
      </c>
      <c r="BS178" s="99">
        <v>0.18340000000000001</v>
      </c>
      <c r="BT178" s="99">
        <v>0.20180000000000001</v>
      </c>
      <c r="BU178" s="99">
        <v>133</v>
      </c>
      <c r="CJ178" s="64">
        <v>177</v>
      </c>
      <c r="CK178" s="99">
        <v>134.291</v>
      </c>
      <c r="CL178" s="99">
        <v>492.57</v>
      </c>
      <c r="CM178" s="99">
        <v>129</v>
      </c>
      <c r="CN178" s="99">
        <v>117</v>
      </c>
      <c r="CP178" s="64">
        <v>177</v>
      </c>
      <c r="CQ178" s="99">
        <v>255.47</v>
      </c>
      <c r="CR178" s="99">
        <v>492.57</v>
      </c>
      <c r="CS178" s="99">
        <v>129</v>
      </c>
      <c r="CT178" s="99">
        <v>117</v>
      </c>
    </row>
    <row r="179" spans="39:98" x14ac:dyDescent="0.25">
      <c r="AM179" s="64">
        <v>178</v>
      </c>
      <c r="AN179" s="99">
        <v>2.6501600000000001</v>
      </c>
      <c r="AO179" s="100">
        <v>-4.7233000000000001</v>
      </c>
      <c r="AP179" s="99">
        <v>2.5457000000000001</v>
      </c>
      <c r="AQ179" s="99">
        <v>117</v>
      </c>
      <c r="AS179" s="64">
        <v>178</v>
      </c>
      <c r="AT179" s="99">
        <v>5.0415599999999996</v>
      </c>
      <c r="AU179" s="100">
        <v>-4.7233000000000001</v>
      </c>
      <c r="AV179" s="99">
        <v>2.5457000000000001</v>
      </c>
      <c r="AW179" s="99">
        <v>117</v>
      </c>
      <c r="BK179" s="64">
        <v>178</v>
      </c>
      <c r="BL179" s="99">
        <v>0.39989999999999998</v>
      </c>
      <c r="BM179" s="99">
        <v>0.1444</v>
      </c>
      <c r="BN179" s="99">
        <v>0.20219999999999999</v>
      </c>
      <c r="BO179" s="99">
        <v>133</v>
      </c>
      <c r="BQ179" s="64">
        <v>178</v>
      </c>
      <c r="BR179" s="99">
        <v>0.21035999999999999</v>
      </c>
      <c r="BS179" s="99">
        <v>0.1444</v>
      </c>
      <c r="BT179" s="99">
        <v>0.20219999999999999</v>
      </c>
      <c r="BU179" s="99">
        <v>133</v>
      </c>
      <c r="CJ179" s="64">
        <v>178</v>
      </c>
      <c r="CK179" s="99">
        <v>132.50800000000001</v>
      </c>
      <c r="CL179" s="100">
        <v>-236.16</v>
      </c>
      <c r="CM179" s="99">
        <v>127.28</v>
      </c>
      <c r="CN179" s="99">
        <v>117</v>
      </c>
      <c r="CP179" s="64">
        <v>178</v>
      </c>
      <c r="CQ179" s="99">
        <v>252.078</v>
      </c>
      <c r="CR179" s="100">
        <v>-236.16</v>
      </c>
      <c r="CS179" s="99">
        <v>127.28</v>
      </c>
      <c r="CT179" s="99">
        <v>117</v>
      </c>
    </row>
    <row r="180" spans="39:98" x14ac:dyDescent="0.25">
      <c r="AM180" s="64">
        <v>179</v>
      </c>
      <c r="AN180" s="99">
        <v>2.78857</v>
      </c>
      <c r="AO180" s="100">
        <v>-3.3209</v>
      </c>
      <c r="AP180" s="99">
        <v>2.6785999999999999</v>
      </c>
      <c r="AQ180" s="99">
        <v>117</v>
      </c>
      <c r="AS180" s="64">
        <v>179</v>
      </c>
      <c r="AT180" s="99">
        <v>5.3048700000000002</v>
      </c>
      <c r="AU180" s="100">
        <v>-3.3209</v>
      </c>
      <c r="AV180" s="99">
        <v>2.6785999999999999</v>
      </c>
      <c r="AW180" s="99">
        <v>117</v>
      </c>
      <c r="BK180" s="64">
        <v>179</v>
      </c>
      <c r="BL180" s="99">
        <v>0.40850999999999998</v>
      </c>
      <c r="BM180" s="100">
        <v>-1.435E-2</v>
      </c>
      <c r="BN180" s="99">
        <v>0.20649999999999999</v>
      </c>
      <c r="BO180" s="99">
        <v>133</v>
      </c>
      <c r="BQ180" s="64">
        <v>179</v>
      </c>
      <c r="BR180" s="99">
        <v>0.21489</v>
      </c>
      <c r="BS180" s="100">
        <v>-1.435E-2</v>
      </c>
      <c r="BT180" s="99">
        <v>0.20649999999999999</v>
      </c>
      <c r="BU180" s="99">
        <v>133</v>
      </c>
      <c r="CJ180" s="64">
        <v>179</v>
      </c>
      <c r="CK180" s="99">
        <v>139.429</v>
      </c>
      <c r="CL180" s="100">
        <v>-166.04</v>
      </c>
      <c r="CM180" s="99">
        <v>133.93</v>
      </c>
      <c r="CN180" s="99">
        <v>117</v>
      </c>
      <c r="CP180" s="64">
        <v>179</v>
      </c>
      <c r="CQ180" s="99">
        <v>265.24299999999999</v>
      </c>
      <c r="CR180" s="100">
        <v>-166.04</v>
      </c>
      <c r="CS180" s="99">
        <v>133.93</v>
      </c>
      <c r="CT180" s="99">
        <v>117</v>
      </c>
    </row>
    <row r="181" spans="39:98" x14ac:dyDescent="0.25">
      <c r="AM181" s="64">
        <v>180</v>
      </c>
      <c r="AN181" s="99">
        <v>2.5682200000000002</v>
      </c>
      <c r="AO181" s="99">
        <v>11.9262</v>
      </c>
      <c r="AP181" s="99">
        <v>2.4670000000000001</v>
      </c>
      <c r="AQ181" s="99">
        <v>117</v>
      </c>
      <c r="AS181" s="64">
        <v>180</v>
      </c>
      <c r="AT181" s="99">
        <v>4.8856799999999998</v>
      </c>
      <c r="AU181" s="99">
        <v>11.9262</v>
      </c>
      <c r="AV181" s="99">
        <v>2.4670000000000001</v>
      </c>
      <c r="AW181" s="99">
        <v>117</v>
      </c>
      <c r="BK181" s="64">
        <v>180</v>
      </c>
      <c r="BL181" s="99">
        <v>0.39488000000000001</v>
      </c>
      <c r="BM181" s="99">
        <v>0.17050000000000001</v>
      </c>
      <c r="BN181" s="99">
        <v>0.1996</v>
      </c>
      <c r="BO181" s="99">
        <v>133</v>
      </c>
      <c r="BQ181" s="64">
        <v>180</v>
      </c>
      <c r="BR181" s="99">
        <v>0.20771999999999999</v>
      </c>
      <c r="BS181" s="99">
        <v>0.17050000000000001</v>
      </c>
      <c r="BT181" s="99">
        <v>0.1996</v>
      </c>
      <c r="BU181" s="99">
        <v>133</v>
      </c>
      <c r="CJ181" s="64">
        <v>180</v>
      </c>
      <c r="CK181" s="99">
        <v>128.411</v>
      </c>
      <c r="CL181" s="99">
        <v>596.30999999999995</v>
      </c>
      <c r="CM181" s="99">
        <v>123.35</v>
      </c>
      <c r="CN181" s="99">
        <v>117</v>
      </c>
      <c r="CP181" s="64">
        <v>180</v>
      </c>
      <c r="CQ181" s="99">
        <v>244.28399999999999</v>
      </c>
      <c r="CR181" s="99">
        <v>596.30999999999995</v>
      </c>
      <c r="CS181" s="99">
        <v>123.35</v>
      </c>
      <c r="CT181" s="99">
        <v>117</v>
      </c>
    </row>
    <row r="182" spans="39:98" x14ac:dyDescent="0.25">
      <c r="AM182" s="64">
        <v>181</v>
      </c>
      <c r="AN182" s="99">
        <v>2.7023700000000002</v>
      </c>
      <c r="AO182" s="99">
        <v>6.2629000000000001</v>
      </c>
      <c r="AP182" s="99">
        <v>2.5958000000000001</v>
      </c>
      <c r="AQ182" s="99">
        <v>117</v>
      </c>
      <c r="AS182" s="64">
        <v>181</v>
      </c>
      <c r="AT182" s="99">
        <v>5.1408800000000001</v>
      </c>
      <c r="AU182" s="99">
        <v>6.2629000000000001</v>
      </c>
      <c r="AV182" s="99">
        <v>2.5958000000000001</v>
      </c>
      <c r="AW182" s="99">
        <v>117</v>
      </c>
      <c r="BK182" s="64">
        <v>181</v>
      </c>
      <c r="BL182" s="99">
        <v>0.40744999999999998</v>
      </c>
      <c r="BM182" s="99">
        <v>6.0659999999999999E-2</v>
      </c>
      <c r="BN182" s="99">
        <v>0.20599999999999999</v>
      </c>
      <c r="BO182" s="99">
        <v>133</v>
      </c>
      <c r="BQ182" s="64">
        <v>181</v>
      </c>
      <c r="BR182" s="99">
        <v>0.21432999999999999</v>
      </c>
      <c r="BS182" s="99">
        <v>6.0659999999999999E-2</v>
      </c>
      <c r="BT182" s="99">
        <v>0.20599999999999999</v>
      </c>
      <c r="BU182" s="99">
        <v>133</v>
      </c>
      <c r="CJ182" s="64">
        <v>181</v>
      </c>
      <c r="CK182" s="99">
        <v>135.11799999999999</v>
      </c>
      <c r="CL182" s="99">
        <v>313.14999999999998</v>
      </c>
      <c r="CM182" s="99">
        <v>129.79</v>
      </c>
      <c r="CN182" s="99">
        <v>117</v>
      </c>
      <c r="CP182" s="64">
        <v>181</v>
      </c>
      <c r="CQ182" s="99">
        <v>257.04399999999998</v>
      </c>
      <c r="CR182" s="99">
        <v>313.14999999999998</v>
      </c>
      <c r="CS182" s="99">
        <v>129.79</v>
      </c>
      <c r="CT182" s="99">
        <v>117</v>
      </c>
    </row>
    <row r="183" spans="39:98" x14ac:dyDescent="0.25">
      <c r="AM183" s="64">
        <v>182</v>
      </c>
      <c r="AN183" s="99">
        <v>2.79047</v>
      </c>
      <c r="AO183" s="100">
        <v>-8.3117000000000001</v>
      </c>
      <c r="AP183" s="99">
        <v>2.6804000000000001</v>
      </c>
      <c r="AQ183" s="99">
        <v>117</v>
      </c>
      <c r="AS183" s="64">
        <v>182</v>
      </c>
      <c r="AT183" s="99">
        <v>5.3084800000000003</v>
      </c>
      <c r="AU183" s="100">
        <v>-8.3117000000000001</v>
      </c>
      <c r="AV183" s="99">
        <v>2.6804000000000001</v>
      </c>
      <c r="AW183" s="99">
        <v>117</v>
      </c>
      <c r="BK183" s="64">
        <v>182</v>
      </c>
      <c r="BL183" s="99">
        <v>0.41021999999999997</v>
      </c>
      <c r="BM183" s="99">
        <v>2.1669999999999998E-2</v>
      </c>
      <c r="BN183" s="99">
        <v>0.2074</v>
      </c>
      <c r="BO183" s="99">
        <v>133</v>
      </c>
      <c r="BQ183" s="64">
        <v>182</v>
      </c>
      <c r="BR183" s="99">
        <v>0.21579000000000001</v>
      </c>
      <c r="BS183" s="99">
        <v>2.1669999999999998E-2</v>
      </c>
      <c r="BT183" s="99">
        <v>0.2074</v>
      </c>
      <c r="BU183" s="99">
        <v>133</v>
      </c>
      <c r="CJ183" s="64">
        <v>182</v>
      </c>
      <c r="CK183" s="99">
        <v>139.523</v>
      </c>
      <c r="CL183" s="100">
        <v>-415.59</v>
      </c>
      <c r="CM183" s="99">
        <v>134.02000000000001</v>
      </c>
      <c r="CN183" s="99">
        <v>117</v>
      </c>
      <c r="CP183" s="64">
        <v>182</v>
      </c>
      <c r="CQ183" s="99">
        <v>265.42399999999998</v>
      </c>
      <c r="CR183" s="100">
        <v>-415.59</v>
      </c>
      <c r="CS183" s="99">
        <v>134.02000000000001</v>
      </c>
      <c r="CT183" s="99">
        <v>117</v>
      </c>
    </row>
    <row r="184" spans="39:98" x14ac:dyDescent="0.25">
      <c r="AM184" s="64">
        <v>183</v>
      </c>
      <c r="AN184" s="99">
        <v>2.7476400000000001</v>
      </c>
      <c r="AO184" s="100">
        <v>-6.9093</v>
      </c>
      <c r="AP184" s="99">
        <v>2.6393</v>
      </c>
      <c r="AQ184" s="99">
        <v>117</v>
      </c>
      <c r="AS184" s="64">
        <v>183</v>
      </c>
      <c r="AT184" s="99">
        <v>5.2270000000000003</v>
      </c>
      <c r="AU184" s="100">
        <v>-6.9093</v>
      </c>
      <c r="AV184" s="99">
        <v>2.6393</v>
      </c>
      <c r="AW184" s="99">
        <v>117</v>
      </c>
      <c r="BK184" s="64">
        <v>183</v>
      </c>
      <c r="BL184" s="99">
        <v>0.40032000000000001</v>
      </c>
      <c r="BM184" s="100">
        <v>-0.1371</v>
      </c>
      <c r="BN184" s="99">
        <v>0.2024</v>
      </c>
      <c r="BO184" s="99">
        <v>133</v>
      </c>
      <c r="BQ184" s="64">
        <v>183</v>
      </c>
      <c r="BR184" s="99">
        <v>0.21059</v>
      </c>
      <c r="BS184" s="100">
        <v>-0.1371</v>
      </c>
      <c r="BT184" s="99">
        <v>0.2024</v>
      </c>
      <c r="BU184" s="99">
        <v>133</v>
      </c>
      <c r="CJ184" s="64">
        <v>183</v>
      </c>
      <c r="CK184" s="99">
        <v>137.38200000000001</v>
      </c>
      <c r="CL184" s="100">
        <v>-345.47</v>
      </c>
      <c r="CM184" s="99">
        <v>131.97</v>
      </c>
      <c r="CN184" s="99">
        <v>117</v>
      </c>
      <c r="CP184" s="64">
        <v>183</v>
      </c>
      <c r="CQ184" s="99">
        <v>261.35000000000002</v>
      </c>
      <c r="CR184" s="100">
        <v>-345.47</v>
      </c>
      <c r="CS184" s="99">
        <v>131.97</v>
      </c>
      <c r="CT184" s="99">
        <v>117</v>
      </c>
    </row>
    <row r="185" spans="39:98" x14ac:dyDescent="0.25">
      <c r="AM185" s="64">
        <v>184</v>
      </c>
      <c r="AN185" s="99">
        <v>2.64317</v>
      </c>
      <c r="AO185" s="99">
        <v>8.3376999999999999</v>
      </c>
      <c r="AP185" s="99">
        <v>2.5390000000000001</v>
      </c>
      <c r="AQ185" s="99">
        <v>117</v>
      </c>
      <c r="AS185" s="64">
        <v>184</v>
      </c>
      <c r="AT185" s="99">
        <v>5.02827</v>
      </c>
      <c r="AU185" s="99">
        <v>8.3376999999999999</v>
      </c>
      <c r="AV185" s="99">
        <v>2.5390000000000001</v>
      </c>
      <c r="AW185" s="99">
        <v>117</v>
      </c>
      <c r="BK185" s="64">
        <v>184</v>
      </c>
      <c r="BL185" s="99">
        <v>0.3982</v>
      </c>
      <c r="BM185" s="99">
        <v>4.7739999999999998E-2</v>
      </c>
      <c r="BN185" s="99">
        <v>0.20130000000000001</v>
      </c>
      <c r="BO185" s="99">
        <v>133</v>
      </c>
      <c r="BQ185" s="64">
        <v>184</v>
      </c>
      <c r="BR185" s="99">
        <v>0.20946999999999999</v>
      </c>
      <c r="BS185" s="99">
        <v>4.7739999999999998E-2</v>
      </c>
      <c r="BT185" s="99">
        <v>0.20130000000000001</v>
      </c>
      <c r="BU185" s="99">
        <v>133</v>
      </c>
      <c r="CJ185" s="64">
        <v>184</v>
      </c>
      <c r="CK185" s="99">
        <v>132.15899999999999</v>
      </c>
      <c r="CL185" s="99">
        <v>416.89</v>
      </c>
      <c r="CM185" s="99">
        <v>126.95</v>
      </c>
      <c r="CN185" s="99">
        <v>117</v>
      </c>
      <c r="CP185" s="64">
        <v>184</v>
      </c>
      <c r="CQ185" s="99">
        <v>251.41300000000001</v>
      </c>
      <c r="CR185" s="99">
        <v>416.89</v>
      </c>
      <c r="CS185" s="99">
        <v>126.95</v>
      </c>
      <c r="CT185" s="99">
        <v>117</v>
      </c>
    </row>
    <row r="186" spans="39:98" x14ac:dyDescent="0.25">
      <c r="AM186" s="64">
        <v>185</v>
      </c>
      <c r="AN186" s="99">
        <v>2.6192099999999998</v>
      </c>
      <c r="AO186" s="100">
        <v>-14.5746</v>
      </c>
      <c r="AP186" s="99">
        <v>2.5158999999999998</v>
      </c>
      <c r="AQ186" s="99">
        <v>117</v>
      </c>
      <c r="AS186" s="64">
        <v>185</v>
      </c>
      <c r="AT186" s="99">
        <v>4.9826800000000002</v>
      </c>
      <c r="AU186" s="100">
        <v>-14.5746</v>
      </c>
      <c r="AV186" s="99">
        <v>2.5158999999999998</v>
      </c>
      <c r="AW186" s="99">
        <v>117</v>
      </c>
      <c r="BK186" s="64">
        <v>185</v>
      </c>
      <c r="BL186" s="99">
        <v>0.39677000000000001</v>
      </c>
      <c r="BM186" s="100">
        <v>-3.8989999999999997E-2</v>
      </c>
      <c r="BN186" s="99">
        <v>0.2006</v>
      </c>
      <c r="BO186" s="99">
        <v>133</v>
      </c>
      <c r="BQ186" s="64">
        <v>185</v>
      </c>
      <c r="BR186" s="99">
        <v>0.20871999999999999</v>
      </c>
      <c r="BS186" s="100">
        <v>-3.8989999999999997E-2</v>
      </c>
      <c r="BT186" s="99">
        <v>0.2006</v>
      </c>
      <c r="BU186" s="99">
        <v>133</v>
      </c>
      <c r="CJ186" s="64">
        <v>185</v>
      </c>
      <c r="CK186" s="99">
        <v>130.96</v>
      </c>
      <c r="CL186" s="100">
        <v>-728.73</v>
      </c>
      <c r="CM186" s="99">
        <v>125.8</v>
      </c>
      <c r="CN186" s="99">
        <v>117</v>
      </c>
      <c r="CP186" s="64">
        <v>185</v>
      </c>
      <c r="CQ186" s="99">
        <v>249.13399999999999</v>
      </c>
      <c r="CR186" s="100">
        <v>-728.73</v>
      </c>
      <c r="CS186" s="99">
        <v>125.8</v>
      </c>
      <c r="CT186" s="99">
        <v>117</v>
      </c>
    </row>
    <row r="187" spans="39:98" x14ac:dyDescent="0.25">
      <c r="AM187" s="64">
        <v>186</v>
      </c>
      <c r="AN187" s="99">
        <v>2.7469899999999998</v>
      </c>
      <c r="AO187" s="100">
        <v>-13.1722</v>
      </c>
      <c r="AP187" s="99">
        <v>2.6387</v>
      </c>
      <c r="AQ187" s="99">
        <v>117</v>
      </c>
      <c r="AS187" s="64">
        <v>186</v>
      </c>
      <c r="AT187" s="99">
        <v>5.2257600000000002</v>
      </c>
      <c r="AU187" s="100">
        <v>-13.1722</v>
      </c>
      <c r="AV187" s="99">
        <v>2.6387</v>
      </c>
      <c r="AW187" s="99">
        <v>117</v>
      </c>
      <c r="BK187" s="64">
        <v>186</v>
      </c>
      <c r="BL187" s="99">
        <v>0.40249000000000001</v>
      </c>
      <c r="BM187" s="100">
        <v>-0.1978</v>
      </c>
      <c r="BN187" s="99">
        <v>0.20349999999999999</v>
      </c>
      <c r="BO187" s="99">
        <v>133</v>
      </c>
      <c r="BQ187" s="64">
        <v>186</v>
      </c>
      <c r="BR187" s="99">
        <v>0.21173</v>
      </c>
      <c r="BS187" s="100">
        <v>-0.1978</v>
      </c>
      <c r="BT187" s="99">
        <v>0.20349999999999999</v>
      </c>
      <c r="BU187" s="99">
        <v>133</v>
      </c>
      <c r="CJ187" s="64">
        <v>186</v>
      </c>
      <c r="CK187" s="99">
        <v>137.34899999999999</v>
      </c>
      <c r="CL187" s="100">
        <v>-658.61</v>
      </c>
      <c r="CM187" s="99">
        <v>131.93</v>
      </c>
      <c r="CN187" s="99">
        <v>117</v>
      </c>
      <c r="CP187" s="64">
        <v>186</v>
      </c>
      <c r="CQ187" s="99">
        <v>261.28800000000001</v>
      </c>
      <c r="CR187" s="100">
        <v>-658.61</v>
      </c>
      <c r="CS187" s="99">
        <v>131.93</v>
      </c>
      <c r="CT187" s="99">
        <v>117</v>
      </c>
    </row>
    <row r="188" spans="39:98" x14ac:dyDescent="0.25">
      <c r="AM188" s="64">
        <v>187</v>
      </c>
      <c r="AN188" s="99">
        <v>2.5614499999999998</v>
      </c>
      <c r="AO188" s="99">
        <v>2.0748000000000002</v>
      </c>
      <c r="AP188" s="99">
        <v>2.4605000000000001</v>
      </c>
      <c r="AQ188" s="99">
        <v>117</v>
      </c>
      <c r="AS188" s="64">
        <v>187</v>
      </c>
      <c r="AT188" s="99">
        <v>4.8728100000000003</v>
      </c>
      <c r="AU188" s="99">
        <v>2.0748000000000002</v>
      </c>
      <c r="AV188" s="99">
        <v>2.4605000000000001</v>
      </c>
      <c r="AW188" s="99">
        <v>117</v>
      </c>
      <c r="BK188" s="64">
        <v>187</v>
      </c>
      <c r="BL188" s="99">
        <v>0.39589000000000002</v>
      </c>
      <c r="BM188" s="100">
        <v>-1.2930000000000001E-2</v>
      </c>
      <c r="BN188" s="99">
        <v>0.20019999999999999</v>
      </c>
      <c r="BO188" s="99">
        <v>133</v>
      </c>
      <c r="BQ188" s="64">
        <v>187</v>
      </c>
      <c r="BR188" s="99">
        <v>0.20826</v>
      </c>
      <c r="BS188" s="100">
        <v>-1.2930000000000001E-2</v>
      </c>
      <c r="BT188" s="99">
        <v>0.20019999999999999</v>
      </c>
      <c r="BU188" s="99">
        <v>133</v>
      </c>
      <c r="CJ188" s="64">
        <v>187</v>
      </c>
      <c r="CK188" s="99">
        <v>128.07300000000001</v>
      </c>
      <c r="CL188" s="99">
        <v>103.74</v>
      </c>
      <c r="CM188" s="99">
        <v>123.02</v>
      </c>
      <c r="CN188" s="99">
        <v>117</v>
      </c>
      <c r="CP188" s="64">
        <v>187</v>
      </c>
      <c r="CQ188" s="99">
        <v>243.64</v>
      </c>
      <c r="CR188" s="99">
        <v>103.74</v>
      </c>
      <c r="CS188" s="99">
        <v>123.02</v>
      </c>
      <c r="CT188" s="99">
        <v>117</v>
      </c>
    </row>
    <row r="189" spans="39:98" x14ac:dyDescent="0.25">
      <c r="AM189" s="64">
        <v>188</v>
      </c>
      <c r="AN189" s="99">
        <v>2.7685599999999999</v>
      </c>
      <c r="AO189" s="99">
        <v>1.4024000000000001</v>
      </c>
      <c r="AP189" s="99">
        <v>2.6594000000000002</v>
      </c>
      <c r="AQ189" s="99">
        <v>117</v>
      </c>
      <c r="AS189" s="64">
        <v>188</v>
      </c>
      <c r="AT189" s="99">
        <v>5.2667999999999999</v>
      </c>
      <c r="AU189" s="99">
        <v>1.4024000000000001</v>
      </c>
      <c r="AV189" s="99">
        <v>2.6594000000000002</v>
      </c>
      <c r="AW189" s="99">
        <v>117</v>
      </c>
      <c r="BK189" s="64">
        <v>188</v>
      </c>
      <c r="BL189" s="99">
        <v>0.40448000000000001</v>
      </c>
      <c r="BM189" s="100">
        <v>-0.1588</v>
      </c>
      <c r="BN189" s="99">
        <v>0.20449999999999999</v>
      </c>
      <c r="BO189" s="99">
        <v>133</v>
      </c>
      <c r="BQ189" s="64">
        <v>188</v>
      </c>
      <c r="BR189" s="99">
        <v>0.21276999999999999</v>
      </c>
      <c r="BS189" s="100">
        <v>-0.1588</v>
      </c>
      <c r="BT189" s="99">
        <v>0.20449999999999999</v>
      </c>
      <c r="BU189" s="99">
        <v>133</v>
      </c>
      <c r="CJ189" s="64">
        <v>188</v>
      </c>
      <c r="CK189" s="99">
        <v>138.428</v>
      </c>
      <c r="CL189" s="99">
        <v>70.12</v>
      </c>
      <c r="CM189" s="99">
        <v>132.97</v>
      </c>
      <c r="CN189" s="99">
        <v>117</v>
      </c>
      <c r="CP189" s="64">
        <v>188</v>
      </c>
      <c r="CQ189" s="99">
        <v>263.33999999999997</v>
      </c>
      <c r="CR189" s="99">
        <v>70.12</v>
      </c>
      <c r="CS189" s="99">
        <v>132.97</v>
      </c>
      <c r="CT189" s="99">
        <v>117</v>
      </c>
    </row>
    <row r="190" spans="39:98" x14ac:dyDescent="0.25">
      <c r="AM190" s="64">
        <v>189</v>
      </c>
      <c r="AN190" s="99">
        <v>2.5303800000000001</v>
      </c>
      <c r="AO190" s="99">
        <v>16.6495</v>
      </c>
      <c r="AP190" s="99">
        <v>2.4306000000000001</v>
      </c>
      <c r="AQ190" s="99">
        <v>117</v>
      </c>
      <c r="AS190" s="64">
        <v>189</v>
      </c>
      <c r="AT190" s="99">
        <v>4.8136999999999999</v>
      </c>
      <c r="AU190" s="99">
        <v>16.6495</v>
      </c>
      <c r="AV190" s="99">
        <v>2.4306000000000001</v>
      </c>
      <c r="AW190" s="99">
        <v>117</v>
      </c>
      <c r="BK190" s="64">
        <v>189</v>
      </c>
      <c r="BL190" s="99">
        <v>0.38893</v>
      </c>
      <c r="BM190" s="99">
        <v>2.6069999999999999E-2</v>
      </c>
      <c r="BN190" s="99">
        <v>0.1966</v>
      </c>
      <c r="BO190" s="99">
        <v>133</v>
      </c>
      <c r="BQ190" s="64">
        <v>189</v>
      </c>
      <c r="BR190" s="99">
        <v>0.20458999999999999</v>
      </c>
      <c r="BS190" s="99">
        <v>2.6069999999999999E-2</v>
      </c>
      <c r="BT190" s="99">
        <v>0.1966</v>
      </c>
      <c r="BU190" s="99">
        <v>133</v>
      </c>
      <c r="CJ190" s="64">
        <v>189</v>
      </c>
      <c r="CK190" s="99">
        <v>126.51900000000001</v>
      </c>
      <c r="CL190" s="99">
        <v>832.47</v>
      </c>
      <c r="CM190" s="99">
        <v>121.53</v>
      </c>
      <c r="CN190" s="99">
        <v>117</v>
      </c>
      <c r="CP190" s="64">
        <v>189</v>
      </c>
      <c r="CQ190" s="99">
        <v>240.685</v>
      </c>
      <c r="CR190" s="99">
        <v>832.47</v>
      </c>
      <c r="CS190" s="99">
        <v>121.53</v>
      </c>
      <c r="CT190" s="99">
        <v>117</v>
      </c>
    </row>
    <row r="191" spans="39:98" x14ac:dyDescent="0.25">
      <c r="AM191" s="64">
        <v>190</v>
      </c>
      <c r="AN191" s="99">
        <v>2.67327</v>
      </c>
      <c r="AO191" s="99">
        <v>15.2471</v>
      </c>
      <c r="AP191" s="99">
        <v>2.5678999999999998</v>
      </c>
      <c r="AQ191" s="99">
        <v>117</v>
      </c>
      <c r="AS191" s="64">
        <v>190</v>
      </c>
      <c r="AT191" s="99">
        <v>5.0855199999999998</v>
      </c>
      <c r="AU191" s="99">
        <v>15.2471</v>
      </c>
      <c r="AV191" s="99">
        <v>2.5678999999999998</v>
      </c>
      <c r="AW191" s="99">
        <v>117</v>
      </c>
      <c r="BK191" s="64">
        <v>190</v>
      </c>
      <c r="BL191" s="99">
        <v>0.40769</v>
      </c>
      <c r="BM191" s="99">
        <v>0.18490000000000001</v>
      </c>
      <c r="BN191" s="99">
        <v>0.20610000000000001</v>
      </c>
      <c r="BO191" s="99">
        <v>133</v>
      </c>
      <c r="BQ191" s="64">
        <v>190</v>
      </c>
      <c r="BR191" s="99">
        <v>0.21446000000000001</v>
      </c>
      <c r="BS191" s="99">
        <v>0.18490000000000001</v>
      </c>
      <c r="BT191" s="99">
        <v>0.20610000000000001</v>
      </c>
      <c r="BU191" s="99">
        <v>133</v>
      </c>
      <c r="CJ191" s="64">
        <v>190</v>
      </c>
      <c r="CK191" s="99">
        <v>133.66399999999999</v>
      </c>
      <c r="CL191" s="99">
        <v>762.35</v>
      </c>
      <c r="CM191" s="99">
        <v>128.38999999999999</v>
      </c>
      <c r="CN191" s="99">
        <v>117</v>
      </c>
      <c r="CP191" s="64">
        <v>190</v>
      </c>
      <c r="CQ191" s="99">
        <v>254.27600000000001</v>
      </c>
      <c r="CR191" s="99">
        <v>762.35</v>
      </c>
      <c r="CS191" s="99">
        <v>128.38999999999999</v>
      </c>
      <c r="CT191" s="99">
        <v>117</v>
      </c>
    </row>
    <row r="192" spans="39:98" x14ac:dyDescent="0.25">
      <c r="AM192" s="66"/>
      <c r="AN192"/>
      <c r="AO192"/>
      <c r="AP192"/>
      <c r="AQ192"/>
      <c r="AS192" s="66"/>
      <c r="AT192"/>
      <c r="AU192"/>
      <c r="AV192"/>
      <c r="AW192"/>
      <c r="BK192" s="66"/>
      <c r="BL192"/>
      <c r="BM192"/>
      <c r="BN192"/>
      <c r="BO192"/>
      <c r="BQ192" s="66"/>
      <c r="BR192"/>
      <c r="BS192"/>
      <c r="BT192"/>
      <c r="BU192"/>
    </row>
    <row r="193" spans="39:73" x14ac:dyDescent="0.25">
      <c r="AM193" s="66"/>
      <c r="AN193"/>
      <c r="AO193"/>
      <c r="AP193"/>
      <c r="AQ193"/>
      <c r="AS193" s="66"/>
      <c r="AT193"/>
      <c r="AU193"/>
      <c r="AV193"/>
      <c r="AW193"/>
      <c r="BK193" s="66"/>
      <c r="BL193"/>
      <c r="BM193"/>
      <c r="BN193"/>
      <c r="BO193"/>
      <c r="BQ193" s="66"/>
      <c r="BR193"/>
      <c r="BS193"/>
      <c r="BT193"/>
      <c r="BU193"/>
    </row>
    <row r="194" spans="39:73" x14ac:dyDescent="0.25">
      <c r="AM194" s="66"/>
      <c r="AN194"/>
      <c r="AO194"/>
      <c r="AP194"/>
      <c r="AQ194"/>
      <c r="AS194" s="66"/>
      <c r="AT194"/>
      <c r="AU194"/>
      <c r="AV194"/>
      <c r="AW194"/>
      <c r="BK194" s="66"/>
      <c r="BL194"/>
      <c r="BM194"/>
      <c r="BN194"/>
      <c r="BO194"/>
      <c r="BQ194" s="66"/>
      <c r="BR194"/>
      <c r="BS194"/>
      <c r="BT194"/>
      <c r="BU194"/>
    </row>
    <row r="195" spans="39:73" x14ac:dyDescent="0.25">
      <c r="AM195" s="66"/>
      <c r="AN195"/>
      <c r="AO195"/>
      <c r="AP195"/>
      <c r="AQ195"/>
      <c r="AS195" s="66"/>
      <c r="AT195"/>
      <c r="AU195"/>
      <c r="AV195"/>
      <c r="AW195"/>
      <c r="BK195" s="66"/>
      <c r="BL195"/>
      <c r="BM195"/>
      <c r="BN195"/>
      <c r="BO195"/>
      <c r="BQ195" s="66"/>
      <c r="BR195"/>
      <c r="BS195"/>
      <c r="BT195"/>
      <c r="BU195"/>
    </row>
    <row r="196" spans="39:73" x14ac:dyDescent="0.25">
      <c r="AM196" s="66"/>
      <c r="AN196"/>
      <c r="AO196"/>
      <c r="AP196"/>
      <c r="AQ196"/>
      <c r="AS196" s="66"/>
      <c r="AT196"/>
      <c r="AU196"/>
      <c r="AV196"/>
      <c r="AW196"/>
      <c r="BK196" s="66"/>
      <c r="BL196"/>
      <c r="BM196"/>
      <c r="BN196"/>
      <c r="BO196"/>
      <c r="BQ196" s="66"/>
      <c r="BR196"/>
      <c r="BS196"/>
      <c r="BT196"/>
      <c r="BU196"/>
    </row>
    <row r="197" spans="39:73" x14ac:dyDescent="0.25">
      <c r="AM197" s="66"/>
      <c r="AN197"/>
      <c r="AO197"/>
      <c r="AP197"/>
      <c r="AQ197"/>
      <c r="AS197" s="66"/>
      <c r="AT197"/>
      <c r="AU197"/>
      <c r="AV197"/>
      <c r="AW197"/>
      <c r="BK197" s="66"/>
      <c r="BL197"/>
      <c r="BM197"/>
      <c r="BN197"/>
      <c r="BO197"/>
      <c r="BQ197" s="66"/>
      <c r="BR197"/>
      <c r="BS197"/>
      <c r="BT197"/>
      <c r="BU197"/>
    </row>
    <row r="198" spans="39:73" x14ac:dyDescent="0.25">
      <c r="AM198" s="66"/>
      <c r="AN198"/>
      <c r="AO198"/>
      <c r="AP198"/>
      <c r="AQ198"/>
      <c r="AS198" s="66"/>
      <c r="AT198"/>
      <c r="AU198"/>
      <c r="AV198"/>
      <c r="AW198"/>
      <c r="BK198" s="66"/>
      <c r="BL198"/>
      <c r="BM198"/>
      <c r="BN198"/>
      <c r="BO198"/>
      <c r="BQ198" s="66"/>
      <c r="BR198"/>
      <c r="BS198"/>
      <c r="BT198"/>
      <c r="BU198"/>
    </row>
    <row r="199" spans="39:73" x14ac:dyDescent="0.25">
      <c r="AM199" s="66"/>
      <c r="AN199"/>
      <c r="AO199"/>
      <c r="AP199"/>
      <c r="AQ199"/>
      <c r="AS199" s="66"/>
      <c r="AT199"/>
      <c r="AU199"/>
      <c r="AV199"/>
      <c r="AW199"/>
      <c r="BK199" s="66"/>
      <c r="BL199"/>
      <c r="BM199"/>
      <c r="BN199"/>
      <c r="BO199"/>
      <c r="BQ199" s="66"/>
      <c r="BR199"/>
      <c r="BS199"/>
      <c r="BT199"/>
      <c r="BU199"/>
    </row>
    <row r="200" spans="39:73" x14ac:dyDescent="0.25">
      <c r="AM200" s="66"/>
      <c r="AN200"/>
      <c r="AO200"/>
      <c r="AP200"/>
      <c r="AQ200"/>
      <c r="AS200" s="66"/>
      <c r="AT200"/>
      <c r="AU200"/>
      <c r="AV200"/>
      <c r="AW200"/>
      <c r="BK200" s="66"/>
      <c r="BL200"/>
      <c r="BM200"/>
      <c r="BN200"/>
      <c r="BO200"/>
      <c r="BQ200" s="66"/>
      <c r="BR200"/>
      <c r="BS200"/>
      <c r="BT200"/>
      <c r="BU200"/>
    </row>
    <row r="201" spans="39:73" x14ac:dyDescent="0.25">
      <c r="AM201" s="66"/>
      <c r="AN201"/>
      <c r="AO201"/>
      <c r="AP201"/>
      <c r="AQ201"/>
      <c r="AS201" s="66"/>
      <c r="AT201"/>
      <c r="AU201"/>
      <c r="AV201"/>
      <c r="AW201"/>
      <c r="BK201" s="66"/>
      <c r="BL201"/>
      <c r="BM201"/>
      <c r="BN201"/>
      <c r="BO201"/>
      <c r="BQ201" s="66"/>
      <c r="BR201"/>
      <c r="BS201"/>
      <c r="BT201"/>
      <c r="BU201"/>
    </row>
    <row r="202" spans="39:73" x14ac:dyDescent="0.25">
      <c r="AM202" s="66"/>
      <c r="AN202"/>
      <c r="AO202"/>
      <c r="AP202"/>
      <c r="AQ202"/>
      <c r="AS202" s="66"/>
      <c r="AT202"/>
      <c r="AU202"/>
      <c r="AV202"/>
      <c r="AW202"/>
      <c r="BK202" s="66"/>
      <c r="BL202"/>
      <c r="BM202"/>
      <c r="BN202"/>
      <c r="BO202"/>
      <c r="BQ202" s="66"/>
      <c r="BR202"/>
      <c r="BS202"/>
      <c r="BT202"/>
      <c r="BU202"/>
    </row>
    <row r="203" spans="39:73" x14ac:dyDescent="0.25">
      <c r="AM203" s="66"/>
      <c r="AN203"/>
      <c r="AO203"/>
      <c r="AP203"/>
      <c r="AQ203"/>
      <c r="AS203" s="66"/>
      <c r="AT203"/>
      <c r="AU203"/>
      <c r="AV203"/>
      <c r="AW203"/>
      <c r="BK203" s="66"/>
      <c r="BL203"/>
      <c r="BM203"/>
      <c r="BN203"/>
      <c r="BO203"/>
      <c r="BQ203" s="66"/>
      <c r="BR203"/>
      <c r="BS203"/>
      <c r="BT203"/>
      <c r="BU203"/>
    </row>
    <row r="204" spans="39:73" x14ac:dyDescent="0.25">
      <c r="AM204" s="66"/>
      <c r="AN204"/>
      <c r="AO204"/>
      <c r="AP204"/>
      <c r="AQ204"/>
      <c r="AS204" s="66"/>
      <c r="AT204"/>
      <c r="AU204"/>
      <c r="AV204"/>
      <c r="AW204"/>
      <c r="BK204" s="66"/>
      <c r="BL204"/>
      <c r="BM204"/>
      <c r="BN204"/>
      <c r="BO204"/>
      <c r="BQ204" s="66"/>
      <c r="BR204"/>
      <c r="BS204"/>
      <c r="BT204"/>
      <c r="BU204"/>
    </row>
    <row r="205" spans="39:73" x14ac:dyDescent="0.25">
      <c r="AM205" s="66"/>
      <c r="AN205"/>
      <c r="AO205"/>
      <c r="AP205"/>
      <c r="AQ205"/>
      <c r="AS205" s="66"/>
      <c r="AT205"/>
      <c r="AU205"/>
      <c r="AV205"/>
      <c r="AW205"/>
      <c r="BK205" s="66"/>
      <c r="BL205"/>
      <c r="BM205"/>
      <c r="BN205"/>
      <c r="BO205"/>
      <c r="BQ205" s="66"/>
      <c r="BR205"/>
      <c r="BS205"/>
      <c r="BT205"/>
      <c r="BU205"/>
    </row>
    <row r="206" spans="39:73" x14ac:dyDescent="0.25">
      <c r="AM206" s="66"/>
      <c r="AN206"/>
      <c r="AO206"/>
      <c r="AP206"/>
      <c r="AQ206"/>
      <c r="AS206" s="66"/>
      <c r="AT206"/>
      <c r="AU206"/>
      <c r="AV206"/>
      <c r="AW206"/>
      <c r="BK206" s="66"/>
      <c r="BL206"/>
      <c r="BM206"/>
      <c r="BN206"/>
      <c r="BO206"/>
      <c r="BQ206" s="66"/>
      <c r="BR206"/>
      <c r="BS206"/>
      <c r="BT206"/>
      <c r="BU206"/>
    </row>
    <row r="207" spans="39:73" x14ac:dyDescent="0.25">
      <c r="AM207" s="66"/>
      <c r="AN207"/>
      <c r="AO207"/>
      <c r="AP207"/>
      <c r="AQ207"/>
      <c r="AS207" s="66"/>
      <c r="AT207"/>
      <c r="AU207"/>
      <c r="AV207"/>
      <c r="AW207"/>
      <c r="BK207" s="66"/>
      <c r="BL207"/>
      <c r="BM207"/>
      <c r="BN207"/>
      <c r="BO207"/>
      <c r="BQ207" s="66"/>
      <c r="BR207"/>
      <c r="BS207"/>
      <c r="BT207"/>
      <c r="BU207"/>
    </row>
    <row r="208" spans="39:73" x14ac:dyDescent="0.25">
      <c r="AM208" s="66"/>
      <c r="AN208"/>
      <c r="AO208"/>
      <c r="AP208"/>
      <c r="AQ208"/>
      <c r="AS208" s="66"/>
      <c r="AT208"/>
      <c r="AU208"/>
      <c r="AV208"/>
      <c r="AW208"/>
      <c r="BK208" s="66"/>
      <c r="BL208"/>
      <c r="BM208"/>
      <c r="BN208"/>
      <c r="BO208"/>
      <c r="BQ208" s="66"/>
      <c r="BR208"/>
      <c r="BS208"/>
      <c r="BT208"/>
      <c r="BU208"/>
    </row>
    <row r="209" spans="39:73" x14ac:dyDescent="0.25">
      <c r="AM209" s="66"/>
      <c r="AN209"/>
      <c r="AO209"/>
      <c r="AP209"/>
      <c r="AQ209"/>
      <c r="AS209" s="66"/>
      <c r="AT209"/>
      <c r="AU209"/>
      <c r="AV209"/>
      <c r="AW209"/>
      <c r="BK209" s="66"/>
      <c r="BL209"/>
      <c r="BM209"/>
      <c r="BN209"/>
      <c r="BO209"/>
      <c r="BQ209" s="66"/>
      <c r="BR209"/>
      <c r="BS209"/>
      <c r="BT209"/>
      <c r="BU209"/>
    </row>
    <row r="210" spans="39:73" x14ac:dyDescent="0.25">
      <c r="AM210" s="66"/>
      <c r="AN210"/>
      <c r="AO210"/>
      <c r="AP210"/>
      <c r="AQ210"/>
      <c r="AS210" s="66"/>
      <c r="AT210"/>
      <c r="AU210"/>
      <c r="AV210"/>
      <c r="AW210"/>
      <c r="BK210" s="66"/>
      <c r="BL210"/>
      <c r="BM210"/>
      <c r="BN210"/>
      <c r="BO210"/>
      <c r="BQ210" s="66"/>
      <c r="BR210"/>
      <c r="BS210"/>
      <c r="BT210"/>
      <c r="BU210"/>
    </row>
    <row r="211" spans="39:73" x14ac:dyDescent="0.25">
      <c r="AM211" s="66"/>
      <c r="AN211"/>
      <c r="AO211"/>
      <c r="AP211"/>
      <c r="AQ211"/>
      <c r="AS211" s="66"/>
      <c r="AT211"/>
      <c r="AU211"/>
      <c r="AV211"/>
      <c r="AW211"/>
      <c r="BK211" s="66"/>
      <c r="BL211"/>
      <c r="BM211"/>
      <c r="BN211"/>
      <c r="BO211"/>
      <c r="BQ211" s="66"/>
      <c r="BR211"/>
      <c r="BS211"/>
      <c r="BT211"/>
      <c r="BU211"/>
    </row>
    <row r="212" spans="39:73" x14ac:dyDescent="0.25">
      <c r="AM212" s="66"/>
      <c r="AN212"/>
      <c r="AO212"/>
      <c r="AP212"/>
      <c r="AQ212"/>
      <c r="AS212" s="66"/>
      <c r="AT212"/>
      <c r="AU212"/>
      <c r="AV212"/>
      <c r="AW212"/>
      <c r="BK212" s="66"/>
      <c r="BL212"/>
      <c r="BM212"/>
      <c r="BN212"/>
      <c r="BO212"/>
      <c r="BQ212" s="66"/>
      <c r="BR212"/>
      <c r="BS212"/>
      <c r="BT212"/>
      <c r="BU212"/>
    </row>
    <row r="213" spans="39:73" x14ac:dyDescent="0.25">
      <c r="AM213" s="66"/>
      <c r="AN213"/>
      <c r="AO213"/>
      <c r="AP213"/>
      <c r="AQ213"/>
      <c r="AS213" s="66"/>
      <c r="AT213"/>
      <c r="AU213"/>
      <c r="AV213"/>
      <c r="AW213"/>
      <c r="BK213" s="66"/>
      <c r="BL213"/>
      <c r="BM213"/>
      <c r="BN213"/>
      <c r="BO213"/>
      <c r="BQ213" s="66"/>
      <c r="BR213"/>
      <c r="BS213"/>
      <c r="BT213"/>
      <c r="BU213"/>
    </row>
    <row r="214" spans="39:73" x14ac:dyDescent="0.25">
      <c r="AM214" s="66"/>
      <c r="AN214"/>
      <c r="AO214"/>
      <c r="AP214"/>
      <c r="AQ214"/>
      <c r="AS214" s="66"/>
      <c r="AT214"/>
      <c r="AU214"/>
      <c r="AV214"/>
      <c r="AW214"/>
      <c r="BK214" s="66"/>
      <c r="BL214"/>
      <c r="BM214"/>
      <c r="BN214"/>
      <c r="BO214"/>
      <c r="BQ214" s="66"/>
      <c r="BR214"/>
      <c r="BS214"/>
      <c r="BT214"/>
      <c r="BU214"/>
    </row>
    <row r="215" spans="39:73" x14ac:dyDescent="0.25">
      <c r="AM215" s="66"/>
      <c r="AN215"/>
      <c r="AO215"/>
      <c r="AP215"/>
      <c r="AQ215"/>
      <c r="AS215" s="66"/>
      <c r="AT215"/>
      <c r="AU215"/>
      <c r="AV215"/>
      <c r="AW215"/>
      <c r="BK215" s="66"/>
      <c r="BL215"/>
      <c r="BM215"/>
      <c r="BN215"/>
      <c r="BO215"/>
      <c r="BQ215" s="66"/>
      <c r="BR215"/>
      <c r="BS215"/>
      <c r="BT215"/>
      <c r="BU215"/>
    </row>
    <row r="216" spans="39:73" x14ac:dyDescent="0.25">
      <c r="AM216" s="66"/>
      <c r="AN216"/>
      <c r="AO216"/>
      <c r="AP216"/>
      <c r="AQ216"/>
      <c r="AS216" s="66"/>
      <c r="AT216"/>
      <c r="AU216"/>
      <c r="AV216"/>
      <c r="AW216"/>
      <c r="BK216" s="66"/>
      <c r="BL216"/>
      <c r="BM216"/>
      <c r="BN216"/>
      <c r="BO216"/>
      <c r="BQ216" s="66"/>
      <c r="BR216"/>
      <c r="BS216"/>
      <c r="BT216"/>
      <c r="BU216"/>
    </row>
    <row r="217" spans="39:73" x14ac:dyDescent="0.25">
      <c r="AM217" s="66"/>
      <c r="AN217"/>
      <c r="AO217"/>
      <c r="AP217"/>
      <c r="AQ217"/>
      <c r="AS217" s="66"/>
      <c r="AT217"/>
      <c r="AU217"/>
      <c r="AV217"/>
      <c r="AW217"/>
      <c r="BK217" s="66"/>
      <c r="BL217"/>
      <c r="BM217"/>
      <c r="BN217"/>
      <c r="BO217"/>
      <c r="BQ217" s="66"/>
      <c r="BR217"/>
      <c r="BS217"/>
      <c r="BT217"/>
      <c r="BU217"/>
    </row>
    <row r="218" spans="39:73" x14ac:dyDescent="0.25">
      <c r="AM218" s="66"/>
      <c r="AN218"/>
      <c r="AO218"/>
      <c r="AP218"/>
      <c r="AQ218"/>
      <c r="AS218" s="66"/>
      <c r="AT218"/>
      <c r="AU218"/>
      <c r="AV218"/>
      <c r="AW218"/>
      <c r="BK218" s="66"/>
      <c r="BL218"/>
      <c r="BM218"/>
      <c r="BN218"/>
      <c r="BO218"/>
      <c r="BQ218" s="66"/>
      <c r="BR218"/>
      <c r="BS218"/>
      <c r="BT218"/>
      <c r="BU218"/>
    </row>
    <row r="219" spans="39:73" x14ac:dyDescent="0.25">
      <c r="AM219" s="66"/>
      <c r="AN219"/>
      <c r="AO219"/>
      <c r="AP219"/>
      <c r="AQ219"/>
      <c r="AS219" s="66"/>
      <c r="AT219"/>
      <c r="AU219"/>
      <c r="AV219"/>
      <c r="AW219"/>
      <c r="BK219" s="66"/>
      <c r="BL219"/>
      <c r="BM219"/>
      <c r="BN219"/>
      <c r="BO219"/>
      <c r="BQ219" s="66"/>
      <c r="BR219"/>
      <c r="BS219"/>
      <c r="BT219"/>
      <c r="BU219"/>
    </row>
    <row r="220" spans="39:73" x14ac:dyDescent="0.25">
      <c r="AM220" s="66"/>
      <c r="AN220"/>
      <c r="AO220"/>
      <c r="AP220"/>
      <c r="AQ220"/>
      <c r="AS220" s="66"/>
      <c r="AT220"/>
      <c r="AU220"/>
      <c r="AV220"/>
      <c r="AW220"/>
      <c r="BK220" s="66"/>
      <c r="BL220"/>
      <c r="BM220"/>
      <c r="BN220"/>
      <c r="BO220"/>
      <c r="BQ220" s="66"/>
      <c r="BR220"/>
      <c r="BS220"/>
      <c r="BT220"/>
      <c r="BU220"/>
    </row>
    <row r="221" spans="39:73" x14ac:dyDescent="0.25">
      <c r="AM221" s="66"/>
      <c r="AN221"/>
      <c r="AO221"/>
      <c r="AP221"/>
      <c r="AQ221"/>
      <c r="AS221" s="66"/>
      <c r="AT221"/>
      <c r="AU221"/>
      <c r="AV221"/>
      <c r="AW221"/>
      <c r="BK221" s="66"/>
      <c r="BL221"/>
      <c r="BM221"/>
      <c r="BN221"/>
      <c r="BO221"/>
      <c r="BQ221" s="66"/>
      <c r="BR221"/>
      <c r="BS221"/>
      <c r="BT221"/>
      <c r="BU221"/>
    </row>
    <row r="222" spans="39:73" x14ac:dyDescent="0.25">
      <c r="AM222" s="66"/>
      <c r="AN222"/>
      <c r="AO222"/>
      <c r="AP222"/>
      <c r="AQ222"/>
      <c r="AS222" s="66"/>
      <c r="AT222"/>
      <c r="AU222"/>
      <c r="AV222"/>
      <c r="AW222"/>
      <c r="BK222" s="66"/>
      <c r="BL222"/>
      <c r="BM222"/>
      <c r="BN222"/>
      <c r="BO222"/>
      <c r="BQ222" s="66"/>
      <c r="BR222"/>
      <c r="BS222"/>
      <c r="BT222"/>
      <c r="BU222"/>
    </row>
    <row r="223" spans="39:73" x14ac:dyDescent="0.25">
      <c r="AM223" s="66"/>
      <c r="AN223"/>
      <c r="AO223"/>
      <c r="AP223"/>
      <c r="AQ223"/>
      <c r="AS223" s="66"/>
      <c r="AT223"/>
      <c r="AU223"/>
      <c r="AV223"/>
      <c r="AW223"/>
      <c r="BK223" s="66"/>
      <c r="BL223"/>
      <c r="BM223"/>
      <c r="BN223"/>
      <c r="BO223"/>
      <c r="BQ223" s="66"/>
      <c r="BR223"/>
      <c r="BS223"/>
      <c r="BT223"/>
      <c r="BU223"/>
    </row>
    <row r="224" spans="39:73" x14ac:dyDescent="0.25">
      <c r="AM224" s="66"/>
      <c r="AN224"/>
      <c r="AO224"/>
      <c r="AP224"/>
      <c r="AQ224"/>
      <c r="AS224" s="66"/>
      <c r="AT224"/>
      <c r="AU224"/>
      <c r="AV224"/>
      <c r="AW224"/>
      <c r="BK224" s="66"/>
      <c r="BL224"/>
      <c r="BM224"/>
      <c r="BN224"/>
      <c r="BO224"/>
      <c r="BQ224" s="66"/>
      <c r="BR224"/>
      <c r="BS224"/>
      <c r="BT224"/>
      <c r="BU224"/>
    </row>
    <row r="225" spans="39:73" x14ac:dyDescent="0.25">
      <c r="AM225" s="66"/>
      <c r="AN225"/>
      <c r="AO225"/>
      <c r="AP225"/>
      <c r="AQ225"/>
      <c r="AS225" s="66"/>
      <c r="AT225"/>
      <c r="AU225"/>
      <c r="AV225"/>
      <c r="AW225"/>
      <c r="BK225" s="66"/>
      <c r="BL225"/>
      <c r="BM225"/>
      <c r="BN225"/>
      <c r="BO225"/>
      <c r="BQ225" s="66"/>
      <c r="BR225"/>
      <c r="BS225"/>
      <c r="BT225"/>
      <c r="BU225"/>
    </row>
    <row r="226" spans="39:73" x14ac:dyDescent="0.25">
      <c r="AM226" s="66"/>
      <c r="AN226"/>
      <c r="AO226"/>
      <c r="AP226"/>
      <c r="AQ226"/>
      <c r="AS226" s="66"/>
      <c r="AT226"/>
      <c r="AU226"/>
      <c r="AV226"/>
      <c r="AW226"/>
      <c r="BK226" s="66"/>
      <c r="BL226"/>
      <c r="BM226"/>
      <c r="BN226"/>
      <c r="BO226"/>
      <c r="BQ226" s="66"/>
      <c r="BR226"/>
      <c r="BS226"/>
      <c r="BT226"/>
      <c r="BU226"/>
    </row>
    <row r="227" spans="39:73" x14ac:dyDescent="0.25">
      <c r="AM227" s="66"/>
      <c r="AN227"/>
      <c r="AO227"/>
      <c r="AP227"/>
      <c r="AQ227"/>
      <c r="AS227" s="66"/>
      <c r="AT227"/>
      <c r="AU227"/>
      <c r="AV227"/>
      <c r="AW227"/>
      <c r="BK227" s="66"/>
      <c r="BL227"/>
      <c r="BM227"/>
      <c r="BN227"/>
      <c r="BO227"/>
      <c r="BQ227" s="66"/>
      <c r="BR227"/>
      <c r="BS227"/>
      <c r="BT227"/>
      <c r="BU227"/>
    </row>
    <row r="228" spans="39:73" x14ac:dyDescent="0.25">
      <c r="AM228" s="66"/>
      <c r="AN228"/>
      <c r="AO228"/>
      <c r="AP228"/>
      <c r="AQ228"/>
      <c r="AS228" s="66"/>
      <c r="AT228"/>
      <c r="AU228"/>
      <c r="AV228"/>
      <c r="AW228"/>
      <c r="BK228" s="66"/>
      <c r="BL228"/>
      <c r="BM228"/>
      <c r="BN228"/>
      <c r="BO228"/>
      <c r="BQ228" s="66"/>
      <c r="BR228"/>
      <c r="BS228"/>
      <c r="BT228"/>
      <c r="BU228"/>
    </row>
    <row r="229" spans="39:73" x14ac:dyDescent="0.25">
      <c r="AM229" s="66"/>
      <c r="AN229"/>
      <c r="AO229"/>
      <c r="AP229"/>
      <c r="AQ229"/>
      <c r="AS229" s="66"/>
      <c r="AT229"/>
      <c r="AU229"/>
      <c r="AV229"/>
      <c r="AW229"/>
      <c r="BK229" s="66"/>
      <c r="BL229"/>
      <c r="BM229"/>
      <c r="BN229"/>
      <c r="BO229"/>
      <c r="BQ229" s="66"/>
      <c r="BR229"/>
      <c r="BS229"/>
      <c r="BT229"/>
      <c r="BU229"/>
    </row>
    <row r="230" spans="39:73" x14ac:dyDescent="0.25">
      <c r="AM230" s="66"/>
      <c r="AN230"/>
      <c r="AO230"/>
      <c r="AP230"/>
      <c r="AQ230"/>
      <c r="AS230" s="66"/>
      <c r="AT230"/>
      <c r="AU230"/>
      <c r="AV230"/>
      <c r="AW230"/>
      <c r="BK230" s="66"/>
      <c r="BL230"/>
      <c r="BM230"/>
      <c r="BN230"/>
      <c r="BO230"/>
      <c r="BQ230" s="66"/>
      <c r="BR230"/>
      <c r="BS230"/>
      <c r="BT230"/>
      <c r="BU230"/>
    </row>
    <row r="231" spans="39:73" x14ac:dyDescent="0.25">
      <c r="AM231" s="66"/>
      <c r="AN231"/>
      <c r="AO231"/>
      <c r="AP231"/>
      <c r="AQ231"/>
      <c r="AS231" s="66"/>
      <c r="AT231"/>
      <c r="AU231"/>
      <c r="AV231"/>
      <c r="AW231"/>
      <c r="BK231" s="66"/>
      <c r="BL231"/>
      <c r="BM231"/>
      <c r="BN231"/>
      <c r="BO231"/>
      <c r="BQ231" s="66"/>
      <c r="BR231"/>
      <c r="BS231"/>
      <c r="BT231"/>
      <c r="BU231"/>
    </row>
    <row r="232" spans="39:73" x14ac:dyDescent="0.25">
      <c r="AM232" s="66"/>
      <c r="AN232"/>
      <c r="AO232"/>
      <c r="AP232"/>
      <c r="AQ232"/>
      <c r="AS232" s="66"/>
      <c r="AT232"/>
      <c r="AU232"/>
      <c r="AV232"/>
      <c r="AW232"/>
      <c r="BK232" s="66"/>
      <c r="BL232"/>
      <c r="BM232"/>
      <c r="BN232"/>
      <c r="BO232"/>
      <c r="BQ232" s="66"/>
      <c r="BR232"/>
      <c r="BS232"/>
      <c r="BT232"/>
      <c r="BU232"/>
    </row>
    <row r="233" spans="39:73" x14ac:dyDescent="0.25">
      <c r="AM233" s="66"/>
      <c r="AN233"/>
      <c r="AO233"/>
      <c r="AP233"/>
      <c r="AQ233"/>
      <c r="AS233" s="66"/>
      <c r="AT233"/>
      <c r="AU233"/>
      <c r="AV233"/>
      <c r="AW233"/>
      <c r="BK233" s="66"/>
      <c r="BL233"/>
      <c r="BM233"/>
      <c r="BN233"/>
      <c r="BO233"/>
      <c r="BQ233" s="66"/>
      <c r="BR233"/>
      <c r="BS233"/>
      <c r="BT233"/>
      <c r="BU233"/>
    </row>
    <row r="234" spans="39:73" x14ac:dyDescent="0.25">
      <c r="AM234" s="66"/>
      <c r="AN234"/>
      <c r="AO234"/>
      <c r="AP234"/>
      <c r="AQ234"/>
      <c r="AS234" s="66"/>
      <c r="AT234"/>
      <c r="AU234"/>
      <c r="AV234"/>
      <c r="AW234"/>
      <c r="BK234" s="66"/>
      <c r="BL234"/>
      <c r="BM234"/>
      <c r="BN234"/>
      <c r="BO234"/>
      <c r="BQ234" s="66"/>
      <c r="BR234"/>
      <c r="BS234"/>
      <c r="BT234"/>
      <c r="BU234"/>
    </row>
    <row r="235" spans="39:73" x14ac:dyDescent="0.25">
      <c r="AM235" s="66"/>
      <c r="AN235"/>
      <c r="AO235"/>
      <c r="AP235"/>
      <c r="AQ235"/>
      <c r="AS235" s="66"/>
      <c r="AT235"/>
      <c r="AU235"/>
      <c r="AV235"/>
      <c r="AW235"/>
      <c r="BK235" s="66"/>
      <c r="BL235"/>
      <c r="BM235"/>
      <c r="BN235"/>
      <c r="BO235"/>
      <c r="BQ235" s="66"/>
      <c r="BR235"/>
      <c r="BS235"/>
      <c r="BT235"/>
      <c r="BU235"/>
    </row>
    <row r="236" spans="39:73" x14ac:dyDescent="0.25">
      <c r="AM236" s="66"/>
      <c r="AN236"/>
      <c r="AO236"/>
      <c r="AP236"/>
      <c r="AQ236"/>
      <c r="AS236" s="66"/>
      <c r="AT236"/>
      <c r="AU236"/>
      <c r="AV236"/>
      <c r="AW236"/>
      <c r="BK236" s="66"/>
      <c r="BL236"/>
      <c r="BM236"/>
      <c r="BN236"/>
      <c r="BO236"/>
      <c r="BQ236" s="66"/>
      <c r="BR236"/>
      <c r="BS236"/>
      <c r="BT236"/>
      <c r="BU236"/>
    </row>
    <row r="237" spans="39:73" x14ac:dyDescent="0.25">
      <c r="AM237" s="66"/>
      <c r="AN237"/>
      <c r="AO237"/>
      <c r="AP237"/>
      <c r="AQ237"/>
      <c r="AS237" s="66"/>
      <c r="AT237"/>
      <c r="AU237"/>
      <c r="AV237"/>
      <c r="AW237"/>
      <c r="BK237" s="66"/>
      <c r="BL237"/>
      <c r="BM237"/>
      <c r="BN237"/>
      <c r="BO237"/>
      <c r="BQ237" s="66"/>
      <c r="BR237"/>
      <c r="BS237"/>
      <c r="BT237"/>
      <c r="BU237"/>
    </row>
    <row r="238" spans="39:73" x14ac:dyDescent="0.25">
      <c r="AM238" s="66"/>
      <c r="AN238"/>
      <c r="AO238"/>
      <c r="AP238"/>
      <c r="AQ238"/>
      <c r="AS238" s="66"/>
      <c r="AT238"/>
      <c r="AU238"/>
      <c r="AV238"/>
      <c r="AW238"/>
      <c r="BK238" s="66"/>
      <c r="BL238"/>
      <c r="BM238"/>
      <c r="BN238"/>
      <c r="BO238"/>
      <c r="BQ238" s="66"/>
      <c r="BR238"/>
      <c r="BS238"/>
      <c r="BT238"/>
      <c r="BU238"/>
    </row>
    <row r="239" spans="39:73" x14ac:dyDescent="0.25">
      <c r="AM239" s="66"/>
      <c r="AN239"/>
      <c r="AO239"/>
      <c r="AP239"/>
      <c r="AQ239"/>
      <c r="AS239" s="66"/>
      <c r="AT239"/>
      <c r="AU239"/>
      <c r="AV239"/>
      <c r="AW239"/>
      <c r="BK239" s="66"/>
      <c r="BL239"/>
      <c r="BM239"/>
      <c r="BN239"/>
      <c r="BO239"/>
      <c r="BQ239" s="66"/>
      <c r="BR239"/>
      <c r="BS239"/>
      <c r="BT239"/>
      <c r="BU239"/>
    </row>
    <row r="240" spans="39:73" x14ac:dyDescent="0.25">
      <c r="AM240" s="66"/>
      <c r="AN240"/>
      <c r="AO240"/>
      <c r="AP240"/>
      <c r="AQ240"/>
      <c r="AS240" s="66"/>
      <c r="AT240"/>
      <c r="AU240"/>
      <c r="AV240"/>
      <c r="AW240"/>
      <c r="BK240" s="66"/>
      <c r="BL240"/>
      <c r="BM240"/>
      <c r="BN240"/>
      <c r="BO240"/>
      <c r="BQ240" s="66"/>
      <c r="BR240"/>
      <c r="BS240"/>
      <c r="BT240"/>
      <c r="BU240"/>
    </row>
    <row r="241" spans="39:73" x14ac:dyDescent="0.25">
      <c r="AM241" s="66"/>
      <c r="AN241"/>
      <c r="AO241"/>
      <c r="AP241"/>
      <c r="AQ241"/>
      <c r="AS241" s="66"/>
      <c r="AT241"/>
      <c r="AU241"/>
      <c r="AV241"/>
      <c r="AW241"/>
      <c r="BK241" s="66"/>
      <c r="BL241"/>
      <c r="BM241"/>
      <c r="BN241"/>
      <c r="BO241"/>
      <c r="BQ241" s="66"/>
      <c r="BR241"/>
      <c r="BS241"/>
      <c r="BT241"/>
      <c r="BU241"/>
    </row>
    <row r="242" spans="39:73" x14ac:dyDescent="0.25">
      <c r="AM242" s="66"/>
      <c r="AN242"/>
      <c r="AO242"/>
      <c r="AP242"/>
      <c r="AQ242"/>
      <c r="AS242" s="66"/>
      <c r="AT242"/>
      <c r="AU242"/>
      <c r="AV242"/>
      <c r="AW242"/>
      <c r="BK242" s="66"/>
      <c r="BL242"/>
      <c r="BM242"/>
      <c r="BN242"/>
      <c r="BO242"/>
      <c r="BQ242" s="66"/>
      <c r="BR242"/>
      <c r="BS242"/>
      <c r="BT242"/>
      <c r="BU242"/>
    </row>
    <row r="243" spans="39:73" x14ac:dyDescent="0.25">
      <c r="AM243" s="66"/>
      <c r="AN243"/>
      <c r="AO243"/>
      <c r="AP243"/>
      <c r="AQ243"/>
      <c r="AS243" s="66"/>
      <c r="AT243"/>
      <c r="AU243"/>
      <c r="AV243"/>
      <c r="AW243"/>
      <c r="BK243" s="66"/>
      <c r="BL243"/>
      <c r="BM243"/>
      <c r="BN243"/>
      <c r="BO243"/>
      <c r="BQ243" s="66"/>
      <c r="BR243"/>
      <c r="BS243"/>
      <c r="BT243"/>
      <c r="BU243"/>
    </row>
    <row r="244" spans="39:73" x14ac:dyDescent="0.25">
      <c r="AM244" s="66"/>
      <c r="AN244"/>
      <c r="AO244"/>
      <c r="AP244"/>
      <c r="AQ244"/>
      <c r="AS244" s="66"/>
      <c r="AT244"/>
      <c r="AU244"/>
      <c r="AV244"/>
      <c r="AW244"/>
      <c r="BK244" s="66"/>
      <c r="BL244"/>
      <c r="BM244"/>
      <c r="BN244"/>
      <c r="BO244"/>
      <c r="BQ244" s="66"/>
      <c r="BR244"/>
      <c r="BS244"/>
      <c r="BT244"/>
      <c r="BU244"/>
    </row>
    <row r="245" spans="39:73" x14ac:dyDescent="0.25">
      <c r="AM245" s="66"/>
      <c r="AN245"/>
      <c r="AO245"/>
      <c r="AP245"/>
      <c r="AQ245"/>
      <c r="AS245" s="66"/>
      <c r="AT245"/>
      <c r="AU245"/>
      <c r="AV245"/>
      <c r="AW245"/>
      <c r="BK245" s="66"/>
      <c r="BL245"/>
      <c r="BM245"/>
      <c r="BN245"/>
      <c r="BO245"/>
      <c r="BQ245" s="66"/>
      <c r="BR245"/>
      <c r="BS245"/>
      <c r="BT245"/>
      <c r="BU245"/>
    </row>
    <row r="246" spans="39:73" x14ac:dyDescent="0.25">
      <c r="AM246" s="66"/>
      <c r="AN246"/>
      <c r="AO246"/>
      <c r="AP246"/>
      <c r="AQ246"/>
      <c r="AS246" s="66"/>
      <c r="AT246"/>
      <c r="AU246"/>
      <c r="AV246"/>
      <c r="AW246"/>
      <c r="BK246" s="66"/>
      <c r="BL246"/>
      <c r="BM246"/>
      <c r="BN246"/>
      <c r="BO246"/>
      <c r="BQ246" s="66"/>
      <c r="BR246"/>
      <c r="BS246"/>
      <c r="BT246"/>
      <c r="BU246"/>
    </row>
    <row r="247" spans="39:73" x14ac:dyDescent="0.25">
      <c r="AM247" s="66"/>
      <c r="AN247"/>
      <c r="AO247"/>
      <c r="AP247"/>
      <c r="AQ247"/>
      <c r="AS247" s="66"/>
      <c r="AT247"/>
      <c r="AU247"/>
      <c r="AV247"/>
      <c r="AW247"/>
      <c r="BK247" s="66"/>
      <c r="BL247"/>
      <c r="BM247"/>
      <c r="BN247"/>
      <c r="BO247"/>
      <c r="BQ247" s="66"/>
      <c r="BR247"/>
      <c r="BS247"/>
      <c r="BT247"/>
      <c r="BU247"/>
    </row>
    <row r="248" spans="39:73" x14ac:dyDescent="0.25">
      <c r="AM248" s="66"/>
      <c r="AN248"/>
      <c r="AO248"/>
      <c r="AP248"/>
      <c r="AQ248"/>
      <c r="AS248" s="66"/>
      <c r="AT248"/>
      <c r="AU248"/>
      <c r="AV248"/>
      <c r="AW248"/>
      <c r="BK248" s="66"/>
      <c r="BL248"/>
      <c r="BM248"/>
      <c r="BN248"/>
      <c r="BO248"/>
      <c r="BQ248" s="66"/>
      <c r="BR248"/>
      <c r="BS248"/>
      <c r="BT248"/>
      <c r="BU248"/>
    </row>
    <row r="249" spans="39:73" x14ac:dyDescent="0.25">
      <c r="AM249" s="66"/>
      <c r="AN249"/>
      <c r="AO249"/>
      <c r="AP249"/>
      <c r="AQ249"/>
      <c r="AS249" s="66"/>
      <c r="AT249"/>
      <c r="AU249"/>
      <c r="AV249"/>
      <c r="AW249"/>
      <c r="BK249" s="66"/>
      <c r="BL249"/>
      <c r="BM249"/>
      <c r="BN249"/>
      <c r="BO249"/>
      <c r="BQ249" s="66"/>
      <c r="BR249"/>
      <c r="BS249"/>
      <c r="BT249"/>
      <c r="BU249"/>
    </row>
    <row r="250" spans="39:73" x14ac:dyDescent="0.25">
      <c r="AM250" s="66"/>
      <c r="AN250"/>
      <c r="AO250"/>
      <c r="AP250"/>
      <c r="AQ250"/>
      <c r="AS250" s="66"/>
      <c r="AT250"/>
      <c r="AU250"/>
      <c r="AV250"/>
      <c r="AW250"/>
      <c r="BK250" s="66"/>
      <c r="BL250"/>
      <c r="BM250"/>
      <c r="BN250"/>
      <c r="BO250"/>
      <c r="BQ250" s="66"/>
      <c r="BR250"/>
      <c r="BS250"/>
      <c r="BT250"/>
      <c r="BU250"/>
    </row>
    <row r="251" spans="39:73" x14ac:dyDescent="0.25">
      <c r="AM251" s="66"/>
      <c r="AN251"/>
      <c r="AO251"/>
      <c r="AP251"/>
      <c r="AQ251"/>
      <c r="AS251" s="66"/>
      <c r="AT251"/>
      <c r="AU251"/>
      <c r="AV251"/>
      <c r="AW251"/>
      <c r="BK251" s="66"/>
      <c r="BL251"/>
      <c r="BM251"/>
      <c r="BN251"/>
      <c r="BO251"/>
      <c r="BQ251" s="66"/>
      <c r="BR251"/>
      <c r="BS251"/>
      <c r="BT251"/>
      <c r="BU251"/>
    </row>
    <row r="252" spans="39:73" x14ac:dyDescent="0.25">
      <c r="AM252" s="66"/>
      <c r="AN252"/>
      <c r="AO252"/>
      <c r="AP252"/>
      <c r="AQ252"/>
      <c r="AS252" s="66"/>
      <c r="AT252"/>
      <c r="AU252"/>
      <c r="AV252"/>
      <c r="AW252"/>
      <c r="BK252" s="66"/>
      <c r="BL252"/>
      <c r="BM252"/>
      <c r="BN252"/>
      <c r="BO252"/>
      <c r="BQ252" s="66"/>
      <c r="BR252"/>
      <c r="BS252"/>
      <c r="BT252"/>
      <c r="BU252"/>
    </row>
    <row r="253" spans="39:73" x14ac:dyDescent="0.25">
      <c r="AM253" s="66"/>
      <c r="AN253"/>
      <c r="AO253"/>
      <c r="AP253"/>
      <c r="AQ253"/>
      <c r="AS253" s="66"/>
      <c r="AT253"/>
      <c r="AU253"/>
      <c r="AV253"/>
      <c r="AW253"/>
      <c r="BK253" s="66"/>
      <c r="BL253"/>
      <c r="BM253"/>
      <c r="BN253"/>
      <c r="BO253"/>
      <c r="BQ253" s="66"/>
      <c r="BR253"/>
      <c r="BS253"/>
      <c r="BT253"/>
      <c r="BU253"/>
    </row>
    <row r="254" spans="39:73" x14ac:dyDescent="0.25">
      <c r="AM254" s="66"/>
      <c r="AN254"/>
      <c r="AO254"/>
      <c r="AP254"/>
      <c r="AQ254"/>
      <c r="AS254" s="66"/>
      <c r="AT254"/>
      <c r="AU254"/>
      <c r="AV254"/>
      <c r="AW254"/>
      <c r="BK254" s="66"/>
      <c r="BL254"/>
      <c r="BM254"/>
      <c r="BN254"/>
      <c r="BO254"/>
      <c r="BQ254" s="66"/>
      <c r="BR254"/>
      <c r="BS254"/>
      <c r="BT254"/>
      <c r="BU254"/>
    </row>
    <row r="255" spans="39:73" x14ac:dyDescent="0.25">
      <c r="AM255" s="66"/>
      <c r="AN255"/>
      <c r="AO255"/>
      <c r="AP255"/>
      <c r="AQ255"/>
      <c r="AS255" s="66"/>
      <c r="AT255"/>
      <c r="AU255"/>
      <c r="AV255"/>
      <c r="AW255"/>
      <c r="BK255" s="66"/>
      <c r="BL255"/>
      <c r="BM255"/>
      <c r="BN255"/>
      <c r="BO255"/>
      <c r="BQ255" s="66"/>
      <c r="BR255"/>
      <c r="BS255"/>
      <c r="BT255"/>
      <c r="BU255"/>
    </row>
    <row r="256" spans="39:73" x14ac:dyDescent="0.25">
      <c r="AM256" s="66"/>
      <c r="AN256"/>
      <c r="AO256"/>
      <c r="AP256"/>
      <c r="AQ256"/>
      <c r="AS256" s="66"/>
      <c r="AT256"/>
      <c r="AU256"/>
      <c r="AV256"/>
      <c r="AW256"/>
      <c r="BK256" s="66"/>
      <c r="BL256"/>
      <c r="BM256"/>
      <c r="BN256"/>
      <c r="BO256"/>
      <c r="BQ256" s="66"/>
      <c r="BR256"/>
      <c r="BS256"/>
      <c r="BT256"/>
      <c r="BU256"/>
    </row>
    <row r="257" spans="39:73" x14ac:dyDescent="0.25">
      <c r="AM257" s="66"/>
      <c r="AN257"/>
      <c r="AO257"/>
      <c r="AP257"/>
      <c r="AQ257"/>
      <c r="AS257" s="66"/>
      <c r="AT257"/>
      <c r="AU257"/>
      <c r="AV257"/>
      <c r="AW257"/>
      <c r="BK257" s="66"/>
      <c r="BL257"/>
      <c r="BM257"/>
      <c r="BN257"/>
      <c r="BO257"/>
      <c r="BQ257" s="66"/>
      <c r="BR257"/>
      <c r="BS257"/>
      <c r="BT257"/>
      <c r="BU257"/>
    </row>
    <row r="258" spans="39:73" x14ac:dyDescent="0.25">
      <c r="AM258" s="66"/>
      <c r="AN258"/>
      <c r="AO258"/>
      <c r="AP258"/>
      <c r="AQ258"/>
      <c r="AS258" s="66"/>
      <c r="AT258"/>
      <c r="AU258"/>
      <c r="AV258"/>
      <c r="AW258"/>
      <c r="BK258" s="66"/>
      <c r="BL258"/>
      <c r="BM258"/>
      <c r="BN258"/>
      <c r="BO258"/>
      <c r="BQ258" s="66"/>
      <c r="BR258"/>
      <c r="BS258"/>
      <c r="BT258"/>
      <c r="BU258"/>
    </row>
    <row r="259" spans="39:73" x14ac:dyDescent="0.25">
      <c r="AM259" s="66"/>
      <c r="AN259"/>
      <c r="AO259"/>
      <c r="AP259"/>
      <c r="AQ259"/>
      <c r="AS259" s="66"/>
      <c r="AT259"/>
      <c r="AU259"/>
      <c r="AV259"/>
      <c r="AW259"/>
      <c r="BK259" s="66"/>
      <c r="BL259"/>
      <c r="BM259"/>
      <c r="BN259"/>
      <c r="BO259"/>
      <c r="BQ259" s="66"/>
      <c r="BR259"/>
      <c r="BS259"/>
      <c r="BT259"/>
      <c r="BU259"/>
    </row>
    <row r="260" spans="39:73" x14ac:dyDescent="0.25">
      <c r="AM260" s="66"/>
      <c r="AN260"/>
      <c r="AO260"/>
      <c r="AP260"/>
      <c r="AQ260"/>
      <c r="AS260" s="66"/>
      <c r="AT260"/>
      <c r="AU260"/>
      <c r="AV260"/>
      <c r="AW260"/>
      <c r="BK260" s="66"/>
      <c r="BL260"/>
      <c r="BM260"/>
      <c r="BN260"/>
      <c r="BO260"/>
      <c r="BQ260" s="66"/>
      <c r="BR260"/>
      <c r="BS260"/>
      <c r="BT260"/>
      <c r="BU260"/>
    </row>
    <row r="261" spans="39:73" x14ac:dyDescent="0.25">
      <c r="AM261" s="66"/>
      <c r="AN261"/>
      <c r="AO261"/>
      <c r="AP261"/>
      <c r="AQ261"/>
      <c r="AS261" s="66"/>
      <c r="AT261"/>
      <c r="AU261"/>
      <c r="AV261"/>
      <c r="AW261"/>
      <c r="BK261" s="66"/>
      <c r="BL261"/>
      <c r="BM261"/>
      <c r="BN261"/>
      <c r="BO261"/>
      <c r="BQ261" s="66"/>
      <c r="BR261"/>
      <c r="BS261"/>
      <c r="BT261"/>
      <c r="BU261"/>
    </row>
    <row r="262" spans="39:73" x14ac:dyDescent="0.25">
      <c r="AM262" s="66"/>
      <c r="AN262"/>
      <c r="AO262"/>
      <c r="AP262"/>
      <c r="AQ262"/>
      <c r="AS262" s="66"/>
      <c r="AT262"/>
      <c r="AU262"/>
      <c r="AV262"/>
      <c r="AW262"/>
      <c r="BK262" s="66"/>
      <c r="BL262"/>
      <c r="BM262"/>
      <c r="BN262"/>
      <c r="BO262"/>
      <c r="BQ262" s="66"/>
      <c r="BR262"/>
      <c r="BS262"/>
      <c r="BT262"/>
      <c r="BU262"/>
    </row>
    <row r="263" spans="39:73" x14ac:dyDescent="0.25">
      <c r="AM263" s="66"/>
      <c r="AN263"/>
      <c r="AO263"/>
      <c r="AP263"/>
      <c r="AQ263"/>
      <c r="AS263" s="66"/>
      <c r="AT263"/>
      <c r="AU263"/>
      <c r="AV263"/>
      <c r="AW263"/>
      <c r="BK263" s="66"/>
      <c r="BL263"/>
      <c r="BM263"/>
      <c r="BN263"/>
      <c r="BO263"/>
      <c r="BQ263" s="66"/>
      <c r="BR263"/>
      <c r="BS263"/>
      <c r="BT263"/>
      <c r="BU263"/>
    </row>
    <row r="264" spans="39:73" x14ac:dyDescent="0.25">
      <c r="AM264" s="66"/>
      <c r="AN264"/>
      <c r="AO264"/>
      <c r="AP264"/>
      <c r="AQ264"/>
      <c r="AS264" s="66"/>
      <c r="AT264"/>
      <c r="AU264"/>
      <c r="AV264"/>
      <c r="AW264"/>
      <c r="BK264" s="66"/>
      <c r="BL264"/>
      <c r="BM264"/>
      <c r="BN264"/>
      <c r="BO264"/>
      <c r="BQ264" s="66"/>
      <c r="BR264"/>
      <c r="BS264"/>
      <c r="BT264"/>
      <c r="BU264"/>
    </row>
    <row r="265" spans="39:73" x14ac:dyDescent="0.25">
      <c r="AM265" s="66"/>
      <c r="AN265"/>
      <c r="AO265"/>
      <c r="AP265"/>
      <c r="AQ265"/>
      <c r="AS265" s="66"/>
      <c r="AT265"/>
      <c r="AU265"/>
      <c r="AV265"/>
      <c r="AW265"/>
      <c r="BK265" s="66"/>
      <c r="BL265"/>
      <c r="BM265"/>
      <c r="BN265"/>
      <c r="BO265"/>
      <c r="BQ265" s="66"/>
      <c r="BR265"/>
      <c r="BS265"/>
      <c r="BT265"/>
      <c r="BU265"/>
    </row>
    <row r="266" spans="39:73" x14ac:dyDescent="0.25">
      <c r="AM266" s="66"/>
      <c r="AN266"/>
      <c r="AO266"/>
      <c r="AP266"/>
      <c r="AQ266"/>
      <c r="AS266" s="66"/>
      <c r="AT266"/>
      <c r="AU266"/>
      <c r="AV266"/>
      <c r="AW266"/>
      <c r="BK266" s="66"/>
      <c r="BL266"/>
      <c r="BM266"/>
      <c r="BN266"/>
      <c r="BO266"/>
      <c r="BQ266" s="66"/>
      <c r="BR266"/>
      <c r="BS266"/>
      <c r="BT266"/>
      <c r="BU266"/>
    </row>
    <row r="267" spans="39:73" x14ac:dyDescent="0.25">
      <c r="AM267" s="66"/>
      <c r="AN267"/>
      <c r="AO267"/>
      <c r="AP267"/>
      <c r="AQ267"/>
      <c r="AS267" s="66"/>
      <c r="AT267"/>
      <c r="AU267"/>
      <c r="AV267"/>
      <c r="AW267"/>
      <c r="BK267" s="66"/>
      <c r="BL267"/>
      <c r="BM267"/>
      <c r="BN267"/>
      <c r="BO267"/>
      <c r="BQ267" s="66"/>
      <c r="BR267"/>
      <c r="BS267"/>
      <c r="BT267"/>
      <c r="BU267"/>
    </row>
    <row r="268" spans="39:73" x14ac:dyDescent="0.25">
      <c r="AM268" s="66"/>
      <c r="AN268"/>
      <c r="AO268"/>
      <c r="AP268"/>
      <c r="AQ268"/>
      <c r="AS268" s="66"/>
      <c r="AT268"/>
      <c r="AU268"/>
      <c r="AV268"/>
      <c r="AW268"/>
      <c r="BK268" s="66"/>
      <c r="BL268"/>
      <c r="BM268"/>
      <c r="BN268"/>
      <c r="BO268"/>
      <c r="BQ268" s="66"/>
      <c r="BR268"/>
      <c r="BS268"/>
      <c r="BT268"/>
      <c r="BU268"/>
    </row>
    <row r="269" spans="39:73" x14ac:dyDescent="0.25">
      <c r="AM269" s="66"/>
      <c r="AN269"/>
      <c r="AO269"/>
      <c r="AP269"/>
      <c r="AQ269"/>
      <c r="AS269" s="66"/>
      <c r="AT269"/>
      <c r="AU269"/>
      <c r="AV269"/>
      <c r="AW269"/>
      <c r="BK269" s="66"/>
      <c r="BL269"/>
      <c r="BM269"/>
      <c r="BN269"/>
      <c r="BO269"/>
      <c r="BQ269" s="66"/>
      <c r="BR269"/>
      <c r="BS269"/>
      <c r="BT269"/>
      <c r="BU269"/>
    </row>
    <row r="270" spans="39:73" x14ac:dyDescent="0.25">
      <c r="AM270" s="66"/>
      <c r="AN270"/>
      <c r="AO270"/>
      <c r="AP270"/>
      <c r="AQ270"/>
      <c r="AS270" s="66"/>
      <c r="AT270"/>
      <c r="AU270"/>
      <c r="AV270"/>
      <c r="AW270"/>
      <c r="BK270" s="66"/>
      <c r="BL270"/>
      <c r="BM270"/>
      <c r="BN270"/>
      <c r="BO270"/>
      <c r="BQ270" s="66"/>
      <c r="BR270"/>
      <c r="BS270"/>
      <c r="BT270"/>
      <c r="BU270"/>
    </row>
    <row r="271" spans="39:73" x14ac:dyDescent="0.25">
      <c r="AM271" s="66"/>
      <c r="AN271"/>
      <c r="AO271"/>
      <c r="AP271"/>
      <c r="AQ271"/>
      <c r="AS271" s="66"/>
      <c r="AT271"/>
      <c r="AU271"/>
      <c r="AV271"/>
      <c r="AW271"/>
      <c r="BK271" s="66"/>
      <c r="BL271"/>
      <c r="BM271"/>
      <c r="BN271"/>
      <c r="BO271"/>
      <c r="BQ271" s="66"/>
      <c r="BR271"/>
      <c r="BS271"/>
      <c r="BT271"/>
      <c r="BU271"/>
    </row>
    <row r="272" spans="39:73" x14ac:dyDescent="0.25">
      <c r="AM272" s="66"/>
      <c r="AN272"/>
      <c r="AO272"/>
      <c r="AP272"/>
      <c r="AQ272"/>
      <c r="AS272" s="66"/>
      <c r="AT272"/>
      <c r="AU272"/>
      <c r="AV272"/>
      <c r="AW272"/>
      <c r="BK272" s="66"/>
      <c r="BL272"/>
      <c r="BM272"/>
      <c r="BN272"/>
      <c r="BO272"/>
      <c r="BQ272" s="66"/>
      <c r="BR272"/>
      <c r="BS272"/>
      <c r="BT272"/>
      <c r="BU272"/>
    </row>
    <row r="273" spans="39:73" x14ac:dyDescent="0.25">
      <c r="AM273" s="66"/>
      <c r="AN273"/>
      <c r="AO273"/>
      <c r="AP273"/>
      <c r="AQ273"/>
      <c r="AS273" s="66"/>
      <c r="AT273"/>
      <c r="AU273"/>
      <c r="AV273"/>
      <c r="AW273"/>
      <c r="BK273" s="66"/>
      <c r="BL273"/>
      <c r="BM273"/>
      <c r="BN273"/>
      <c r="BO273"/>
      <c r="BQ273" s="66"/>
      <c r="BR273"/>
      <c r="BS273"/>
      <c r="BT273"/>
      <c r="BU273"/>
    </row>
    <row r="274" spans="39:73" x14ac:dyDescent="0.25">
      <c r="AM274" s="66"/>
      <c r="AN274"/>
      <c r="AO274"/>
      <c r="AP274"/>
      <c r="AQ274"/>
      <c r="AS274" s="66"/>
      <c r="AT274"/>
      <c r="AU274"/>
      <c r="AV274"/>
      <c r="AW274"/>
      <c r="BK274" s="66"/>
      <c r="BL274"/>
      <c r="BM274"/>
      <c r="BN274"/>
      <c r="BO274"/>
      <c r="BQ274" s="66"/>
      <c r="BR274"/>
      <c r="BS274"/>
      <c r="BT274"/>
      <c r="BU274"/>
    </row>
    <row r="275" spans="39:73" x14ac:dyDescent="0.25">
      <c r="AM275" s="66"/>
      <c r="AN275"/>
      <c r="AO275"/>
      <c r="AP275"/>
      <c r="AQ275"/>
      <c r="AS275" s="66"/>
      <c r="AT275"/>
      <c r="AU275"/>
      <c r="AV275"/>
      <c r="AW275"/>
      <c r="BK275" s="66"/>
      <c r="BL275"/>
      <c r="BM275"/>
      <c r="BN275"/>
      <c r="BO275"/>
      <c r="BQ275" s="66"/>
      <c r="BR275"/>
      <c r="BS275"/>
      <c r="BT275"/>
      <c r="BU275"/>
    </row>
    <row r="276" spans="39:73" x14ac:dyDescent="0.25">
      <c r="AM276" s="66"/>
      <c r="AN276"/>
      <c r="AO276"/>
      <c r="AP276"/>
      <c r="AQ276"/>
      <c r="AS276" s="66"/>
      <c r="AT276"/>
      <c r="AU276"/>
      <c r="AV276"/>
      <c r="AW276"/>
      <c r="BK276" s="66"/>
      <c r="BL276"/>
      <c r="BM276"/>
      <c r="BN276"/>
      <c r="BO276"/>
      <c r="BQ276" s="66"/>
      <c r="BR276"/>
      <c r="BS276"/>
      <c r="BT276"/>
      <c r="BU276"/>
    </row>
    <row r="277" spans="39:73" x14ac:dyDescent="0.25">
      <c r="AM277" s="66"/>
      <c r="AN277"/>
      <c r="AO277"/>
      <c r="AP277"/>
      <c r="AQ277"/>
      <c r="AS277" s="66"/>
      <c r="AT277"/>
      <c r="AU277"/>
      <c r="AV277"/>
      <c r="AW277"/>
      <c r="BK277" s="66"/>
      <c r="BL277"/>
      <c r="BM277"/>
      <c r="BN277"/>
      <c r="BO277"/>
      <c r="BQ277" s="66"/>
      <c r="BR277"/>
      <c r="BS277"/>
      <c r="BT277"/>
      <c r="BU277"/>
    </row>
    <row r="278" spans="39:73" x14ac:dyDescent="0.25">
      <c r="AM278" s="66"/>
      <c r="AN278"/>
      <c r="AO278"/>
      <c r="AP278"/>
      <c r="AQ278"/>
      <c r="AS278" s="66"/>
      <c r="AT278"/>
      <c r="AU278"/>
      <c r="AV278"/>
      <c r="AW278"/>
      <c r="BK278" s="66"/>
      <c r="BL278"/>
      <c r="BM278"/>
      <c r="BN278"/>
      <c r="BO278"/>
      <c r="BQ278" s="66"/>
      <c r="BR278"/>
      <c r="BS278"/>
      <c r="BT278"/>
      <c r="BU278"/>
    </row>
    <row r="279" spans="39:73" x14ac:dyDescent="0.25">
      <c r="AM279" s="66"/>
      <c r="AN279"/>
      <c r="AO279"/>
      <c r="AP279"/>
      <c r="AQ279"/>
      <c r="AS279" s="66"/>
      <c r="AT279"/>
      <c r="AU279"/>
      <c r="AV279"/>
      <c r="AW279"/>
      <c r="BK279" s="66"/>
      <c r="BL279"/>
      <c r="BM279"/>
      <c r="BN279"/>
      <c r="BO279"/>
      <c r="BQ279" s="66"/>
      <c r="BR279"/>
      <c r="BS279"/>
      <c r="BT279"/>
      <c r="BU279"/>
    </row>
    <row r="280" spans="39:73" x14ac:dyDescent="0.25">
      <c r="AM280" s="66"/>
      <c r="AN280"/>
      <c r="AO280"/>
      <c r="AP280"/>
      <c r="AQ280"/>
      <c r="AS280" s="66"/>
      <c r="AT280"/>
      <c r="AU280"/>
      <c r="AV280"/>
      <c r="AW280"/>
      <c r="BK280" s="66"/>
      <c r="BL280"/>
      <c r="BM280"/>
      <c r="BN280"/>
      <c r="BO280"/>
      <c r="BQ280" s="66"/>
      <c r="BR280"/>
      <c r="BS280"/>
      <c r="BT280"/>
      <c r="BU280"/>
    </row>
    <row r="281" spans="39:73" x14ac:dyDescent="0.25">
      <c r="AM281" s="66"/>
      <c r="AN281"/>
      <c r="AO281"/>
      <c r="AP281"/>
      <c r="AQ281"/>
      <c r="AS281" s="66"/>
      <c r="AT281"/>
      <c r="AU281"/>
      <c r="AV281"/>
      <c r="AW281"/>
      <c r="BK281" s="66"/>
      <c r="BL281"/>
      <c r="BM281"/>
      <c r="BN281"/>
      <c r="BO281"/>
      <c r="BQ281" s="66"/>
      <c r="BR281"/>
      <c r="BS281"/>
      <c r="BT281"/>
      <c r="BU281"/>
    </row>
    <row r="282" spans="39:73" x14ac:dyDescent="0.25">
      <c r="AM282" s="66"/>
      <c r="AN282"/>
      <c r="AO282"/>
      <c r="AP282"/>
      <c r="AQ282"/>
      <c r="AS282" s="66"/>
      <c r="AT282"/>
      <c r="AU282"/>
      <c r="AV282"/>
      <c r="AW282"/>
      <c r="BK282" s="66"/>
      <c r="BL282"/>
      <c r="BM282"/>
      <c r="BN282"/>
      <c r="BO282"/>
      <c r="BQ282" s="66"/>
      <c r="BR282"/>
      <c r="BS282"/>
      <c r="BT282"/>
      <c r="BU282"/>
    </row>
    <row r="283" spans="39:73" x14ac:dyDescent="0.25">
      <c r="AM283" s="66"/>
      <c r="AN283"/>
      <c r="AO283"/>
      <c r="AP283"/>
      <c r="AQ283"/>
      <c r="AS283" s="66"/>
      <c r="AT283"/>
      <c r="AU283"/>
      <c r="AV283"/>
      <c r="AW283"/>
      <c r="BK283" s="66"/>
      <c r="BL283"/>
      <c r="BM283"/>
      <c r="BN283"/>
      <c r="BO283"/>
      <c r="BQ283" s="66"/>
      <c r="BR283"/>
      <c r="BS283"/>
      <c r="BT283"/>
      <c r="BU283"/>
    </row>
    <row r="284" spans="39:73" x14ac:dyDescent="0.25">
      <c r="AM284" s="66"/>
      <c r="AN284"/>
      <c r="AO284"/>
      <c r="AP284"/>
      <c r="AQ284"/>
      <c r="AS284" s="66"/>
      <c r="AT284"/>
      <c r="AU284"/>
      <c r="AV284"/>
      <c r="AW284"/>
      <c r="BK284" s="66"/>
      <c r="BL284"/>
      <c r="BM284"/>
      <c r="BN284"/>
      <c r="BO284"/>
      <c r="BQ284" s="66"/>
      <c r="BR284"/>
      <c r="BS284"/>
      <c r="BT284"/>
      <c r="BU284"/>
    </row>
    <row r="285" spans="39:73" x14ac:dyDescent="0.25">
      <c r="AM285" s="66"/>
      <c r="AN285"/>
      <c r="AO285"/>
      <c r="AP285"/>
      <c r="AQ285"/>
      <c r="AS285" s="66"/>
      <c r="AT285"/>
      <c r="AU285"/>
      <c r="AV285"/>
      <c r="AW285"/>
      <c r="BK285" s="66"/>
      <c r="BL285"/>
      <c r="BM285"/>
      <c r="BN285"/>
      <c r="BO285"/>
      <c r="BQ285" s="66"/>
      <c r="BR285"/>
      <c r="BS285"/>
      <c r="BT285"/>
      <c r="BU285"/>
    </row>
    <row r="286" spans="39:73" x14ac:dyDescent="0.25">
      <c r="AM286" s="66"/>
      <c r="AN286"/>
      <c r="AO286"/>
      <c r="AP286"/>
      <c r="AQ286"/>
      <c r="AS286" s="66"/>
      <c r="AT286"/>
      <c r="AU286"/>
      <c r="AV286"/>
      <c r="AW286"/>
      <c r="BK286" s="66"/>
      <c r="BL286"/>
      <c r="BM286"/>
      <c r="BN286"/>
      <c r="BO286"/>
      <c r="BQ286" s="66"/>
      <c r="BR286"/>
      <c r="BS286"/>
      <c r="BT286"/>
      <c r="BU286"/>
    </row>
    <row r="287" spans="39:73" x14ac:dyDescent="0.25">
      <c r="AM287" s="66"/>
      <c r="AN287"/>
      <c r="AO287"/>
      <c r="AP287"/>
      <c r="AQ287"/>
      <c r="AS287" s="66"/>
      <c r="AT287"/>
      <c r="AU287"/>
      <c r="AV287"/>
      <c r="AW287"/>
      <c r="BK287" s="66"/>
      <c r="BL287"/>
      <c r="BM287"/>
      <c r="BN287"/>
      <c r="BO287"/>
      <c r="BQ287" s="66"/>
      <c r="BR287"/>
      <c r="BS287"/>
      <c r="BT287"/>
      <c r="BU287"/>
    </row>
    <row r="288" spans="39:73" x14ac:dyDescent="0.25">
      <c r="AM288" s="66"/>
      <c r="AN288"/>
      <c r="AO288"/>
      <c r="AP288"/>
      <c r="AQ288"/>
      <c r="AS288" s="66"/>
      <c r="AT288"/>
      <c r="AU288"/>
      <c r="AV288"/>
      <c r="AW288"/>
      <c r="BK288" s="66"/>
      <c r="BL288"/>
      <c r="BM288"/>
      <c r="BN288"/>
      <c r="BO288"/>
      <c r="BQ288" s="66"/>
      <c r="BR288"/>
      <c r="BS288"/>
      <c r="BT288"/>
      <c r="BU288"/>
    </row>
    <row r="289" spans="39:73" x14ac:dyDescent="0.25">
      <c r="AM289" s="66"/>
      <c r="AN289"/>
      <c r="AO289"/>
      <c r="AP289"/>
      <c r="AQ289"/>
      <c r="AS289" s="66"/>
      <c r="AT289"/>
      <c r="AU289"/>
      <c r="AV289"/>
      <c r="AW289"/>
      <c r="BK289" s="66"/>
      <c r="BL289"/>
      <c r="BM289"/>
      <c r="BN289"/>
      <c r="BO289"/>
      <c r="BQ289" s="66"/>
      <c r="BR289"/>
      <c r="BS289"/>
      <c r="BT289"/>
      <c r="BU289"/>
    </row>
    <row r="290" spans="39:73" x14ac:dyDescent="0.25">
      <c r="AM290" s="66"/>
      <c r="AN290"/>
      <c r="AO290"/>
      <c r="AP290"/>
      <c r="AQ290"/>
      <c r="AS290" s="66"/>
      <c r="AT290"/>
      <c r="AU290"/>
      <c r="AV290"/>
      <c r="AW290"/>
      <c r="BK290" s="66"/>
      <c r="BL290"/>
      <c r="BM290"/>
      <c r="BN290"/>
      <c r="BO290"/>
      <c r="BQ290" s="66"/>
      <c r="BR290"/>
      <c r="BS290"/>
      <c r="BT290"/>
      <c r="BU290"/>
    </row>
    <row r="291" spans="39:73" x14ac:dyDescent="0.25">
      <c r="AM291" s="66"/>
      <c r="AN291"/>
      <c r="AO291"/>
      <c r="AP291"/>
      <c r="AQ291"/>
      <c r="AS291" s="66"/>
      <c r="AT291"/>
      <c r="AU291"/>
      <c r="AV291"/>
      <c r="AW291"/>
      <c r="BK291" s="66"/>
      <c r="BL291"/>
      <c r="BM291"/>
      <c r="BN291"/>
      <c r="BO291"/>
      <c r="BQ291" s="66"/>
      <c r="BR291"/>
      <c r="BS291"/>
      <c r="BT291"/>
      <c r="BU291"/>
    </row>
    <row r="292" spans="39:73" x14ac:dyDescent="0.25">
      <c r="AM292" s="66"/>
      <c r="AN292"/>
      <c r="AO292"/>
      <c r="AP292"/>
      <c r="AQ292"/>
      <c r="AS292" s="66"/>
      <c r="AT292"/>
      <c r="AU292"/>
      <c r="AV292"/>
      <c r="AW292"/>
      <c r="BK292" s="66"/>
      <c r="BL292"/>
      <c r="BM292"/>
      <c r="BN292"/>
      <c r="BO292"/>
      <c r="BQ292" s="66"/>
      <c r="BR292"/>
      <c r="BS292"/>
      <c r="BT292"/>
      <c r="BU292"/>
    </row>
    <row r="293" spans="39:73" x14ac:dyDescent="0.25">
      <c r="AM293" s="66"/>
      <c r="AN293"/>
      <c r="AO293"/>
      <c r="AP293"/>
      <c r="AQ293"/>
      <c r="AS293" s="66"/>
      <c r="AT293"/>
      <c r="AU293"/>
      <c r="AV293"/>
      <c r="AW293"/>
      <c r="BK293" s="66"/>
      <c r="BL293"/>
      <c r="BM293"/>
      <c r="BN293"/>
      <c r="BO293"/>
      <c r="BQ293" s="66"/>
      <c r="BR293"/>
      <c r="BS293"/>
      <c r="BT293"/>
      <c r="BU293"/>
    </row>
    <row r="294" spans="39:73" x14ac:dyDescent="0.25">
      <c r="AM294" s="66"/>
      <c r="AN294"/>
      <c r="AO294"/>
      <c r="AP294"/>
      <c r="AQ294"/>
      <c r="AS294" s="66"/>
      <c r="AT294"/>
      <c r="AU294"/>
      <c r="AV294"/>
      <c r="AW294"/>
      <c r="BK294" s="66"/>
      <c r="BL294"/>
      <c r="BM294"/>
      <c r="BN294"/>
      <c r="BO294"/>
      <c r="BQ294" s="66"/>
      <c r="BR294"/>
      <c r="BS294"/>
      <c r="BT294"/>
      <c r="BU294"/>
    </row>
    <row r="295" spans="39:73" x14ac:dyDescent="0.25">
      <c r="AM295" s="66"/>
      <c r="AN295"/>
      <c r="AO295"/>
      <c r="AP295"/>
      <c r="AQ295"/>
      <c r="AS295" s="66"/>
      <c r="AT295"/>
      <c r="AU295"/>
      <c r="AV295"/>
      <c r="AW295"/>
      <c r="BK295" s="66"/>
      <c r="BL295"/>
      <c r="BM295"/>
      <c r="BN295"/>
      <c r="BO295"/>
      <c r="BQ295" s="66"/>
      <c r="BR295"/>
      <c r="BS295"/>
      <c r="BT295"/>
      <c r="BU295"/>
    </row>
    <row r="296" spans="39:73" x14ac:dyDescent="0.25">
      <c r="AM296" s="66"/>
      <c r="AN296"/>
      <c r="AO296"/>
      <c r="AP296"/>
      <c r="AQ296"/>
      <c r="AS296" s="66"/>
      <c r="AT296"/>
      <c r="AU296"/>
      <c r="AV296"/>
      <c r="AW296"/>
      <c r="BK296" s="66"/>
      <c r="BL296"/>
      <c r="BM296"/>
      <c r="BN296"/>
      <c r="BO296"/>
      <c r="BQ296" s="66"/>
      <c r="BR296"/>
      <c r="BS296"/>
      <c r="BT296"/>
      <c r="BU296"/>
    </row>
    <row r="297" spans="39:73" x14ac:dyDescent="0.25">
      <c r="AM297" s="66"/>
      <c r="AN297"/>
      <c r="AO297"/>
      <c r="AP297"/>
      <c r="AQ297"/>
      <c r="AS297" s="66"/>
      <c r="AT297"/>
      <c r="AU297"/>
      <c r="AV297"/>
      <c r="AW297"/>
      <c r="BK297" s="66"/>
      <c r="BL297"/>
      <c r="BM297"/>
      <c r="BN297"/>
      <c r="BO297"/>
      <c r="BQ297" s="66"/>
      <c r="BR297"/>
      <c r="BS297"/>
      <c r="BT297"/>
      <c r="BU297"/>
    </row>
    <row r="298" spans="39:73" x14ac:dyDescent="0.25">
      <c r="AM298" s="66"/>
      <c r="AN298"/>
      <c r="AO298"/>
      <c r="AP298"/>
      <c r="AQ298"/>
      <c r="AS298" s="66"/>
      <c r="AT298"/>
      <c r="AU298"/>
      <c r="AV298"/>
      <c r="AW298"/>
      <c r="BK298" s="66"/>
      <c r="BL298"/>
      <c r="BM298"/>
      <c r="BN298"/>
      <c r="BO298"/>
      <c r="BQ298" s="66"/>
      <c r="BR298"/>
      <c r="BS298"/>
      <c r="BT298"/>
      <c r="BU298"/>
    </row>
    <row r="299" spans="39:73" x14ac:dyDescent="0.25">
      <c r="AM299" s="66"/>
      <c r="AN299"/>
      <c r="AO299"/>
      <c r="AP299"/>
      <c r="AQ299"/>
      <c r="AS299" s="66"/>
      <c r="AT299"/>
      <c r="AU299"/>
      <c r="AV299"/>
      <c r="AW299"/>
      <c r="BK299" s="66"/>
      <c r="BL299"/>
      <c r="BM299"/>
      <c r="BN299"/>
      <c r="BO299"/>
      <c r="BQ299" s="66"/>
      <c r="BR299"/>
      <c r="BS299"/>
      <c r="BT299"/>
      <c r="BU299"/>
    </row>
    <row r="300" spans="39:73" x14ac:dyDescent="0.25">
      <c r="AM300" s="66"/>
      <c r="AN300"/>
      <c r="AO300"/>
      <c r="AP300"/>
      <c r="AQ300"/>
      <c r="AS300" s="66"/>
      <c r="AT300"/>
      <c r="AU300"/>
      <c r="AV300"/>
      <c r="AW300"/>
      <c r="BK300" s="66"/>
      <c r="BL300"/>
      <c r="BM300"/>
      <c r="BN300"/>
      <c r="BO300"/>
      <c r="BQ300" s="66"/>
      <c r="BR300"/>
      <c r="BS300"/>
      <c r="BT300"/>
      <c r="BU300"/>
    </row>
    <row r="301" spans="39:73" x14ac:dyDescent="0.25">
      <c r="AM301" s="66"/>
      <c r="AN301"/>
      <c r="AO301"/>
      <c r="AP301"/>
      <c r="AQ301"/>
      <c r="AS301" s="66"/>
      <c r="AT301"/>
      <c r="AU301"/>
      <c r="AV301"/>
      <c r="AW301"/>
      <c r="BK301" s="66"/>
      <c r="BL301"/>
      <c r="BM301"/>
      <c r="BN301"/>
      <c r="BO301"/>
      <c r="BQ301" s="66"/>
      <c r="BR301"/>
      <c r="BS301"/>
      <c r="BT301"/>
      <c r="BU301"/>
    </row>
    <row r="302" spans="39:73" x14ac:dyDescent="0.25">
      <c r="AM302" s="66"/>
      <c r="AN302"/>
      <c r="AO302"/>
      <c r="AP302"/>
      <c r="AQ302"/>
      <c r="AS302" s="66"/>
      <c r="AT302"/>
      <c r="AU302"/>
      <c r="AV302"/>
      <c r="AW302"/>
      <c r="BK302" s="66"/>
      <c r="BL302"/>
      <c r="BM302"/>
      <c r="BN302"/>
      <c r="BO302"/>
      <c r="BQ302" s="66"/>
      <c r="BR302"/>
      <c r="BS302"/>
      <c r="BT302"/>
      <c r="BU302"/>
    </row>
    <row r="303" spans="39:73" x14ac:dyDescent="0.25">
      <c r="AM303" s="66"/>
      <c r="AN303"/>
      <c r="AO303"/>
      <c r="AP303"/>
      <c r="AQ303"/>
      <c r="AS303" s="66"/>
      <c r="AT303"/>
      <c r="AU303"/>
      <c r="AV303"/>
      <c r="AW303"/>
      <c r="BK303" s="66"/>
      <c r="BL303"/>
      <c r="BM303"/>
      <c r="BN303"/>
      <c r="BO303"/>
      <c r="BQ303" s="66"/>
      <c r="BR303"/>
      <c r="BS303"/>
      <c r="BT303"/>
      <c r="BU303"/>
    </row>
    <row r="304" spans="39:73" x14ac:dyDescent="0.25">
      <c r="AM304" s="66"/>
      <c r="AN304"/>
      <c r="AO304"/>
      <c r="AP304"/>
      <c r="AQ304"/>
      <c r="AS304" s="66"/>
      <c r="AT304"/>
      <c r="AU304"/>
      <c r="AV304"/>
      <c r="AW304"/>
      <c r="BK304" s="66"/>
      <c r="BL304"/>
      <c r="BM304"/>
      <c r="BN304"/>
      <c r="BO304"/>
      <c r="BQ304" s="66"/>
      <c r="BR304"/>
      <c r="BS304"/>
      <c r="BT304"/>
      <c r="BU304"/>
    </row>
    <row r="305" spans="39:73" x14ac:dyDescent="0.25">
      <c r="AM305" s="66"/>
      <c r="AN305"/>
      <c r="AO305"/>
      <c r="AP305"/>
      <c r="AQ305"/>
      <c r="AS305" s="66"/>
      <c r="AT305"/>
      <c r="AU305"/>
      <c r="AV305"/>
      <c r="AW305"/>
      <c r="BK305" s="66"/>
      <c r="BL305"/>
      <c r="BM305"/>
      <c r="BN305"/>
      <c r="BO305"/>
      <c r="BQ305" s="66"/>
      <c r="BR305"/>
      <c r="BS305"/>
      <c r="BT305"/>
      <c r="BU305"/>
    </row>
    <row r="306" spans="39:73" x14ac:dyDescent="0.25">
      <c r="AM306" s="66"/>
      <c r="AN306"/>
      <c r="AO306"/>
      <c r="AP306"/>
      <c r="AQ306"/>
      <c r="AS306" s="66"/>
      <c r="AT306"/>
      <c r="AU306"/>
      <c r="AV306"/>
      <c r="AW306"/>
      <c r="BK306" s="66"/>
      <c r="BL306"/>
      <c r="BM306"/>
      <c r="BN306"/>
      <c r="BO306"/>
      <c r="BQ306" s="66"/>
      <c r="BR306"/>
      <c r="BS306"/>
      <c r="BT306"/>
      <c r="BU306"/>
    </row>
    <row r="307" spans="39:73" x14ac:dyDescent="0.25">
      <c r="AM307" s="66"/>
      <c r="AN307"/>
      <c r="AO307"/>
      <c r="AP307"/>
      <c r="AQ307"/>
      <c r="AS307" s="66"/>
      <c r="AT307"/>
      <c r="AU307"/>
      <c r="AV307"/>
      <c r="AW307"/>
      <c r="BK307" s="66"/>
      <c r="BL307"/>
      <c r="BM307"/>
      <c r="BN307"/>
      <c r="BO307"/>
      <c r="BQ307" s="66"/>
      <c r="BR307"/>
      <c r="BS307"/>
      <c r="BT307"/>
      <c r="BU307"/>
    </row>
    <row r="308" spans="39:73" x14ac:dyDescent="0.25">
      <c r="AM308" s="66"/>
      <c r="AN308"/>
      <c r="AO308"/>
      <c r="AP308"/>
      <c r="AQ308"/>
      <c r="AS308" s="66"/>
      <c r="AT308"/>
      <c r="AU308"/>
      <c r="AV308"/>
      <c r="AW308"/>
      <c r="BK308" s="66"/>
      <c r="BL308"/>
      <c r="BM308"/>
      <c r="BN308"/>
      <c r="BO308"/>
      <c r="BQ308" s="66"/>
      <c r="BR308"/>
      <c r="BS308"/>
      <c r="BT308"/>
      <c r="BU308"/>
    </row>
    <row r="309" spans="39:73" x14ac:dyDescent="0.25">
      <c r="AM309" s="66"/>
      <c r="AN309"/>
      <c r="AO309"/>
      <c r="AP309"/>
      <c r="AQ309"/>
      <c r="AS309" s="66"/>
      <c r="AT309"/>
      <c r="AU309"/>
      <c r="AV309"/>
      <c r="AW309"/>
      <c r="BK309" s="66"/>
      <c r="BL309"/>
      <c r="BM309"/>
      <c r="BN309"/>
      <c r="BO309"/>
      <c r="BQ309" s="66"/>
      <c r="BR309"/>
      <c r="BS309"/>
      <c r="BT309"/>
      <c r="BU309"/>
    </row>
    <row r="310" spans="39:73" x14ac:dyDescent="0.25">
      <c r="AM310" s="66"/>
      <c r="AN310"/>
      <c r="AO310"/>
      <c r="AP310"/>
      <c r="AQ310"/>
      <c r="AS310" s="66"/>
      <c r="AT310"/>
      <c r="AU310"/>
      <c r="AV310"/>
      <c r="AW310"/>
      <c r="BK310" s="66"/>
      <c r="BL310"/>
      <c r="BM310"/>
      <c r="BN310"/>
      <c r="BO310"/>
      <c r="BQ310" s="66"/>
      <c r="BR310"/>
      <c r="BS310"/>
      <c r="BT310"/>
      <c r="BU310"/>
    </row>
    <row r="311" spans="39:73" x14ac:dyDescent="0.25">
      <c r="AM311" s="66"/>
      <c r="AN311"/>
      <c r="AO311"/>
      <c r="AP311"/>
      <c r="AQ311"/>
      <c r="AS311" s="66"/>
      <c r="AT311"/>
      <c r="AU311"/>
      <c r="AV311"/>
      <c r="AW311"/>
      <c r="BK311" s="66"/>
      <c r="BL311"/>
      <c r="BM311"/>
      <c r="BN311"/>
      <c r="BO311"/>
      <c r="BQ311" s="66"/>
      <c r="BR311"/>
      <c r="BS311"/>
      <c r="BT311"/>
      <c r="BU311"/>
    </row>
    <row r="312" spans="39:73" x14ac:dyDescent="0.25">
      <c r="AM312" s="66"/>
      <c r="AN312"/>
      <c r="AO312"/>
      <c r="AP312"/>
      <c r="AQ312"/>
      <c r="AS312" s="66"/>
      <c r="AT312"/>
      <c r="AU312"/>
      <c r="AV312"/>
      <c r="AW312"/>
      <c r="BK312" s="66"/>
      <c r="BL312"/>
      <c r="BM312"/>
      <c r="BN312"/>
      <c r="BO312"/>
      <c r="BQ312" s="66"/>
      <c r="BR312"/>
      <c r="BS312"/>
      <c r="BT312"/>
      <c r="BU312"/>
    </row>
    <row r="313" spans="39:73" x14ac:dyDescent="0.25">
      <c r="AM313" s="66"/>
      <c r="AN313"/>
      <c r="AO313"/>
      <c r="AP313"/>
      <c r="AQ313"/>
      <c r="AS313" s="66"/>
      <c r="AT313"/>
      <c r="AU313"/>
      <c r="AV313"/>
      <c r="AW313"/>
      <c r="BK313" s="66"/>
      <c r="BL313"/>
      <c r="BM313"/>
      <c r="BN313"/>
      <c r="BO313"/>
      <c r="BQ313" s="66"/>
      <c r="BR313"/>
      <c r="BS313"/>
      <c r="BT313"/>
      <c r="BU313"/>
    </row>
    <row r="314" spans="39:73" x14ac:dyDescent="0.25">
      <c r="AM314" s="66"/>
      <c r="AN314"/>
      <c r="AO314"/>
      <c r="AP314"/>
      <c r="AQ314"/>
      <c r="AS314" s="66"/>
      <c r="AT314"/>
      <c r="AU314"/>
      <c r="AV314"/>
      <c r="AW314"/>
      <c r="BK314" s="66"/>
      <c r="BL314"/>
      <c r="BM314"/>
      <c r="BN314"/>
      <c r="BO314"/>
      <c r="BQ314" s="66"/>
      <c r="BR314"/>
      <c r="BS314"/>
      <c r="BT314"/>
      <c r="BU314"/>
    </row>
    <row r="315" spans="39:73" x14ac:dyDescent="0.25">
      <c r="AM315" s="66"/>
      <c r="AN315"/>
      <c r="AO315"/>
      <c r="AP315"/>
      <c r="AQ315"/>
      <c r="AS315" s="66"/>
      <c r="AT315"/>
      <c r="AU315"/>
      <c r="AV315"/>
      <c r="AW315"/>
      <c r="BK315" s="66"/>
      <c r="BL315"/>
      <c r="BM315"/>
      <c r="BN315"/>
      <c r="BO315"/>
      <c r="BQ315" s="66"/>
      <c r="BR315"/>
      <c r="BS315"/>
      <c r="BT315"/>
      <c r="BU315"/>
    </row>
    <row r="316" spans="39:73" x14ac:dyDescent="0.25">
      <c r="AM316" s="66"/>
      <c r="AN316"/>
      <c r="AO316"/>
      <c r="AP316"/>
      <c r="AQ316"/>
      <c r="AS316" s="66"/>
      <c r="AT316"/>
      <c r="AU316"/>
      <c r="AV316"/>
      <c r="AW316"/>
      <c r="BK316" s="66"/>
      <c r="BL316"/>
      <c r="BM316"/>
      <c r="BN316"/>
      <c r="BO316"/>
      <c r="BQ316" s="66"/>
      <c r="BR316"/>
      <c r="BS316"/>
      <c r="BT316"/>
      <c r="BU316"/>
    </row>
    <row r="317" spans="39:73" x14ac:dyDescent="0.25">
      <c r="AM317" s="66"/>
      <c r="AN317"/>
      <c r="AO317"/>
      <c r="AP317"/>
      <c r="AQ317"/>
      <c r="AS317" s="66"/>
      <c r="AT317"/>
      <c r="AU317"/>
      <c r="AV317"/>
      <c r="AW317"/>
      <c r="BK317" s="66"/>
      <c r="BL317"/>
      <c r="BM317"/>
      <c r="BN317"/>
      <c r="BO317"/>
      <c r="BQ317" s="66"/>
      <c r="BR317"/>
      <c r="BS317"/>
      <c r="BT317"/>
      <c r="BU317"/>
    </row>
    <row r="318" spans="39:73" x14ac:dyDescent="0.25">
      <c r="AM318" s="66"/>
      <c r="AN318"/>
      <c r="AO318"/>
      <c r="AP318"/>
      <c r="AQ318"/>
      <c r="AS318" s="66"/>
      <c r="AT318"/>
      <c r="AU318"/>
      <c r="AV318"/>
      <c r="AW318"/>
      <c r="BK318" s="66"/>
      <c r="BL318"/>
      <c r="BM318"/>
      <c r="BN318"/>
      <c r="BO318"/>
      <c r="BQ318" s="66"/>
      <c r="BR318"/>
      <c r="BS318"/>
      <c r="BT318"/>
      <c r="BU318"/>
    </row>
    <row r="319" spans="39:73" x14ac:dyDescent="0.25">
      <c r="AM319" s="66"/>
      <c r="AN319"/>
      <c r="AO319"/>
      <c r="AP319"/>
      <c r="AQ319"/>
      <c r="AS319" s="66"/>
      <c r="AT319"/>
      <c r="AU319"/>
      <c r="AV319"/>
      <c r="AW319"/>
      <c r="BK319" s="66"/>
      <c r="BL319"/>
      <c r="BM319"/>
      <c r="BN319"/>
      <c r="BO319"/>
      <c r="BQ319" s="66"/>
      <c r="BR319"/>
      <c r="BS319"/>
      <c r="BT319"/>
      <c r="BU319"/>
    </row>
    <row r="320" spans="39:73" x14ac:dyDescent="0.25">
      <c r="AM320" s="66"/>
      <c r="AN320"/>
      <c r="AO320"/>
      <c r="AP320"/>
      <c r="AQ320"/>
      <c r="AS320" s="66"/>
      <c r="AT320"/>
      <c r="AU320"/>
      <c r="AV320"/>
      <c r="AW320"/>
      <c r="BK320" s="66"/>
      <c r="BL320"/>
      <c r="BM320"/>
      <c r="BN320"/>
      <c r="BO320"/>
      <c r="BQ320" s="66"/>
      <c r="BR320"/>
      <c r="BS320"/>
      <c r="BT320"/>
      <c r="BU320"/>
    </row>
    <row r="321" spans="39:73" x14ac:dyDescent="0.25">
      <c r="AM321" s="66"/>
      <c r="AN321"/>
      <c r="AO321"/>
      <c r="AP321"/>
      <c r="AQ321"/>
      <c r="AS321" s="66"/>
      <c r="AT321"/>
      <c r="AU321"/>
      <c r="AV321"/>
      <c r="AW321"/>
      <c r="BK321" s="66"/>
      <c r="BL321"/>
      <c r="BM321"/>
      <c r="BN321"/>
      <c r="BO321"/>
      <c r="BQ321" s="66"/>
      <c r="BR321"/>
      <c r="BS321"/>
      <c r="BT321"/>
      <c r="BU321"/>
    </row>
    <row r="322" spans="39:73" x14ac:dyDescent="0.25">
      <c r="AM322" s="66"/>
      <c r="AN322"/>
      <c r="AO322"/>
      <c r="AP322"/>
      <c r="AQ322"/>
      <c r="AS322" s="66"/>
      <c r="AT322"/>
      <c r="AU322"/>
      <c r="AV322"/>
      <c r="AW322"/>
      <c r="BK322" s="66"/>
      <c r="BL322"/>
      <c r="BM322"/>
      <c r="BN322"/>
      <c r="BO322"/>
      <c r="BQ322" s="66"/>
      <c r="BR322"/>
      <c r="BS322"/>
      <c r="BT322"/>
      <c r="BU322"/>
    </row>
    <row r="323" spans="39:73" x14ac:dyDescent="0.25">
      <c r="AM323" s="66"/>
      <c r="AN323"/>
      <c r="AO323"/>
      <c r="AP323"/>
      <c r="AQ323"/>
      <c r="AS323" s="66"/>
      <c r="AT323"/>
      <c r="AU323"/>
      <c r="AV323"/>
      <c r="AW323"/>
      <c r="BK323" s="66"/>
      <c r="BL323"/>
      <c r="BM323"/>
      <c r="BN323"/>
      <c r="BO323"/>
      <c r="BQ323" s="66"/>
      <c r="BR323"/>
      <c r="BS323"/>
      <c r="BT323"/>
      <c r="BU323"/>
    </row>
    <row r="324" spans="39:73" x14ac:dyDescent="0.25">
      <c r="AM324" s="66"/>
      <c r="AN324"/>
      <c r="AO324"/>
      <c r="AP324"/>
      <c r="AQ324"/>
      <c r="AS324" s="66"/>
      <c r="AT324"/>
      <c r="AU324"/>
      <c r="AV324"/>
      <c r="AW324"/>
      <c r="BK324" s="66"/>
      <c r="BL324"/>
      <c r="BM324"/>
      <c r="BN324"/>
      <c r="BO324"/>
      <c r="BQ324" s="66"/>
      <c r="BR324"/>
      <c r="BS324"/>
      <c r="BT324"/>
      <c r="BU324"/>
    </row>
    <row r="325" spans="39:73" x14ac:dyDescent="0.25">
      <c r="AM325" s="66"/>
      <c r="AN325"/>
      <c r="AO325"/>
      <c r="AP325"/>
      <c r="AQ325"/>
      <c r="AS325" s="66"/>
      <c r="AT325"/>
      <c r="AU325"/>
      <c r="AV325"/>
      <c r="AW325"/>
      <c r="BK325" s="66"/>
      <c r="BL325"/>
      <c r="BM325"/>
      <c r="BN325"/>
      <c r="BO325"/>
      <c r="BQ325" s="66"/>
      <c r="BR325"/>
      <c r="BS325"/>
      <c r="BT325"/>
      <c r="BU325"/>
    </row>
    <row r="326" spans="39:73" x14ac:dyDescent="0.25">
      <c r="AM326" s="66"/>
      <c r="AN326"/>
      <c r="AO326"/>
      <c r="AP326"/>
      <c r="AQ326"/>
      <c r="AS326" s="66"/>
      <c r="AT326"/>
      <c r="AU326"/>
      <c r="AV326"/>
      <c r="AW326"/>
      <c r="BK326" s="66"/>
      <c r="BL326"/>
      <c r="BM326"/>
      <c r="BN326"/>
      <c r="BO326"/>
      <c r="BQ326" s="66"/>
      <c r="BR326"/>
      <c r="BS326"/>
      <c r="BT326"/>
      <c r="BU326"/>
    </row>
    <row r="327" spans="39:73" x14ac:dyDescent="0.25">
      <c r="AM327" s="66"/>
      <c r="AN327"/>
      <c r="AO327"/>
      <c r="AP327"/>
      <c r="AQ327"/>
      <c r="AS327" s="66"/>
      <c r="AT327"/>
      <c r="AU327"/>
      <c r="AV327"/>
      <c r="AW327"/>
      <c r="BK327" s="66"/>
      <c r="BL327"/>
      <c r="BM327"/>
      <c r="BN327"/>
      <c r="BO327"/>
      <c r="BQ327" s="66"/>
      <c r="BR327"/>
      <c r="BS327"/>
      <c r="BT327"/>
      <c r="BU327"/>
    </row>
    <row r="328" spans="39:73" x14ac:dyDescent="0.25">
      <c r="AM328" s="66"/>
      <c r="AN328"/>
      <c r="AO328"/>
      <c r="AP328"/>
      <c r="AQ328"/>
      <c r="AS328" s="66"/>
      <c r="AT328"/>
      <c r="AU328"/>
      <c r="AV328"/>
      <c r="AW328"/>
      <c r="BK328" s="66"/>
      <c r="BL328"/>
      <c r="BM328"/>
      <c r="BN328"/>
      <c r="BO328"/>
      <c r="BQ328" s="66"/>
      <c r="BR328"/>
      <c r="BS328"/>
      <c r="BT328"/>
      <c r="BU328"/>
    </row>
    <row r="329" spans="39:73" x14ac:dyDescent="0.25">
      <c r="AM329" s="66"/>
      <c r="AN329"/>
      <c r="AO329"/>
      <c r="AP329"/>
      <c r="AQ329"/>
      <c r="AS329" s="66"/>
      <c r="AT329"/>
      <c r="AU329"/>
      <c r="AV329"/>
      <c r="AW329"/>
      <c r="BK329" s="66"/>
      <c r="BL329"/>
      <c r="BM329"/>
      <c r="BN329"/>
      <c r="BO329"/>
      <c r="BQ329" s="66"/>
      <c r="BR329"/>
      <c r="BS329"/>
      <c r="BT329"/>
      <c r="BU329"/>
    </row>
    <row r="330" spans="39:73" x14ac:dyDescent="0.25">
      <c r="AM330" s="66"/>
      <c r="AN330"/>
      <c r="AO330"/>
      <c r="AP330"/>
      <c r="AQ330"/>
      <c r="AS330" s="66"/>
      <c r="AT330"/>
      <c r="AU330"/>
      <c r="AV330"/>
      <c r="AW330"/>
      <c r="BK330" s="66"/>
      <c r="BL330"/>
      <c r="BM330"/>
      <c r="BN330"/>
      <c r="BO330"/>
      <c r="BQ330" s="66"/>
      <c r="BR330"/>
      <c r="BS330"/>
      <c r="BT330"/>
      <c r="BU330"/>
    </row>
    <row r="331" spans="39:73" x14ac:dyDescent="0.25">
      <c r="AM331" s="66"/>
      <c r="AN331"/>
      <c r="AO331"/>
      <c r="AP331"/>
      <c r="AQ331"/>
      <c r="AS331" s="66"/>
      <c r="AT331"/>
      <c r="AU331"/>
      <c r="AV331"/>
      <c r="AW331"/>
      <c r="BK331" s="66"/>
      <c r="BL331"/>
      <c r="BM331"/>
      <c r="BN331"/>
      <c r="BO331"/>
      <c r="BQ331" s="66"/>
      <c r="BR331"/>
      <c r="BS331"/>
      <c r="BT331"/>
      <c r="BU331"/>
    </row>
    <row r="332" spans="39:73" x14ac:dyDescent="0.25">
      <c r="AM332" s="66"/>
      <c r="AN332"/>
      <c r="AO332"/>
      <c r="AP332"/>
      <c r="AQ332"/>
      <c r="AS332" s="66"/>
      <c r="AT332"/>
      <c r="AU332"/>
      <c r="AV332"/>
      <c r="AW332"/>
      <c r="BK332" s="66"/>
      <c r="BL332"/>
      <c r="BM332"/>
      <c r="BN332"/>
      <c r="BO332"/>
      <c r="BQ332" s="66"/>
      <c r="BR332"/>
      <c r="BS332"/>
      <c r="BT332"/>
      <c r="BU332"/>
    </row>
    <row r="333" spans="39:73" x14ac:dyDescent="0.25">
      <c r="AM333" s="66"/>
      <c r="AN333"/>
      <c r="AO333"/>
      <c r="AP333"/>
      <c r="AQ333"/>
      <c r="AS333" s="66"/>
      <c r="AT333"/>
      <c r="AU333"/>
      <c r="AV333"/>
      <c r="AW333"/>
      <c r="BK333" s="66"/>
      <c r="BL333"/>
      <c r="BM333"/>
      <c r="BN333"/>
      <c r="BO333"/>
      <c r="BQ333" s="66"/>
      <c r="BR333"/>
      <c r="BS333"/>
      <c r="BT333"/>
      <c r="BU333"/>
    </row>
    <row r="334" spans="39:73" x14ac:dyDescent="0.25">
      <c r="AM334" s="66"/>
      <c r="AN334"/>
      <c r="AO334"/>
      <c r="AP334"/>
      <c r="AQ334"/>
      <c r="AS334" s="66"/>
      <c r="AT334"/>
      <c r="AU334"/>
      <c r="AV334"/>
      <c r="AW334"/>
      <c r="BK334" s="66"/>
      <c r="BL334"/>
      <c r="BM334"/>
      <c r="BN334"/>
      <c r="BO334"/>
      <c r="BQ334" s="66"/>
      <c r="BR334"/>
      <c r="BS334"/>
      <c r="BT334"/>
      <c r="BU334"/>
    </row>
    <row r="335" spans="39:73" x14ac:dyDescent="0.25">
      <c r="AM335" s="66"/>
      <c r="AN335"/>
      <c r="AO335"/>
      <c r="AP335"/>
      <c r="AQ335"/>
      <c r="AS335" s="66"/>
      <c r="AT335"/>
      <c r="AU335"/>
      <c r="AV335"/>
      <c r="AW335"/>
      <c r="BK335" s="66"/>
      <c r="BL335"/>
      <c r="BM335"/>
      <c r="BN335"/>
      <c r="BO335"/>
      <c r="BQ335" s="66"/>
      <c r="BR335"/>
      <c r="BS335"/>
      <c r="BT335"/>
      <c r="BU335"/>
    </row>
    <row r="336" spans="39:73" x14ac:dyDescent="0.25">
      <c r="AM336" s="66"/>
      <c r="AN336"/>
      <c r="AO336"/>
      <c r="AP336"/>
      <c r="AQ336"/>
      <c r="AS336" s="66"/>
      <c r="AT336"/>
      <c r="AU336"/>
      <c r="AV336"/>
      <c r="AW336"/>
      <c r="BK336" s="66"/>
      <c r="BL336"/>
      <c r="BM336"/>
      <c r="BN336"/>
      <c r="BO336"/>
      <c r="BQ336" s="66"/>
      <c r="BR336"/>
      <c r="BS336"/>
      <c r="BT336"/>
      <c r="BU336"/>
    </row>
    <row r="337" spans="39:73" x14ac:dyDescent="0.25">
      <c r="AM337" s="66"/>
      <c r="AN337"/>
      <c r="AO337"/>
      <c r="AP337"/>
      <c r="AQ337"/>
      <c r="AS337" s="66"/>
      <c r="AT337"/>
      <c r="AU337"/>
      <c r="AV337"/>
      <c r="AW337"/>
      <c r="BK337" s="66"/>
      <c r="BL337"/>
      <c r="BM337"/>
      <c r="BN337"/>
      <c r="BO337"/>
      <c r="BQ337" s="66"/>
      <c r="BR337"/>
      <c r="BS337"/>
      <c r="BT337"/>
      <c r="BU337"/>
    </row>
    <row r="338" spans="39:73" x14ac:dyDescent="0.25">
      <c r="AM338" s="66"/>
      <c r="AN338"/>
      <c r="AO338"/>
      <c r="AP338"/>
      <c r="AQ338"/>
      <c r="AS338" s="66"/>
      <c r="AT338"/>
      <c r="AU338"/>
      <c r="AV338"/>
      <c r="AW338"/>
      <c r="BK338" s="66"/>
      <c r="BL338"/>
      <c r="BM338"/>
      <c r="BN338"/>
      <c r="BO338"/>
      <c r="BQ338" s="66"/>
      <c r="BR338"/>
      <c r="BS338"/>
      <c r="BT338"/>
      <c r="BU338"/>
    </row>
    <row r="339" spans="39:73" x14ac:dyDescent="0.25">
      <c r="AM339" s="66"/>
      <c r="AN339"/>
      <c r="AO339"/>
      <c r="AP339"/>
      <c r="AQ339"/>
      <c r="AS339" s="66"/>
      <c r="AT339"/>
      <c r="AU339"/>
      <c r="AV339"/>
      <c r="AW339"/>
      <c r="BK339" s="66"/>
      <c r="BL339"/>
      <c r="BM339"/>
      <c r="BN339"/>
      <c r="BO339"/>
      <c r="BQ339" s="66"/>
      <c r="BR339"/>
      <c r="BS339"/>
      <c r="BT339"/>
      <c r="BU339"/>
    </row>
    <row r="340" spans="39:73" x14ac:dyDescent="0.25">
      <c r="AM340" s="66"/>
      <c r="AN340"/>
      <c r="AO340"/>
      <c r="AP340"/>
      <c r="AQ340"/>
      <c r="AS340" s="66"/>
      <c r="AT340"/>
      <c r="AU340"/>
      <c r="AV340"/>
      <c r="AW340"/>
      <c r="BK340" s="66"/>
      <c r="BL340"/>
      <c r="BM340"/>
      <c r="BN340"/>
      <c r="BO340"/>
      <c r="BQ340" s="66"/>
      <c r="BR340"/>
      <c r="BS340"/>
      <c r="BT340"/>
      <c r="BU340"/>
    </row>
    <row r="341" spans="39:73" x14ac:dyDescent="0.25">
      <c r="AM341" s="66"/>
      <c r="AN341"/>
      <c r="AO341"/>
      <c r="AP341"/>
      <c r="AQ341"/>
      <c r="AS341" s="66"/>
      <c r="AT341"/>
      <c r="AU341"/>
      <c r="AV341"/>
      <c r="AW341"/>
      <c r="BK341" s="66"/>
      <c r="BL341"/>
      <c r="BM341"/>
      <c r="BN341"/>
      <c r="BO341"/>
      <c r="BQ341" s="66"/>
      <c r="BR341"/>
      <c r="BS341"/>
      <c r="BT341"/>
      <c r="BU341"/>
    </row>
    <row r="342" spans="39:73" x14ac:dyDescent="0.25">
      <c r="AM342" s="66"/>
      <c r="AN342"/>
      <c r="AO342"/>
      <c r="AP342"/>
      <c r="AQ342"/>
      <c r="AS342" s="66"/>
      <c r="AT342"/>
      <c r="AU342"/>
      <c r="AV342"/>
      <c r="AW342"/>
      <c r="BK342" s="66"/>
      <c r="BL342"/>
      <c r="BM342"/>
      <c r="BN342"/>
      <c r="BO342"/>
      <c r="BQ342" s="66"/>
      <c r="BR342"/>
      <c r="BS342"/>
      <c r="BT342"/>
      <c r="BU342"/>
    </row>
    <row r="343" spans="39:73" x14ac:dyDescent="0.25">
      <c r="AM343" s="66"/>
      <c r="AN343"/>
      <c r="AO343"/>
      <c r="AP343"/>
      <c r="AQ343"/>
      <c r="AS343" s="66"/>
      <c r="AT343"/>
      <c r="AU343"/>
      <c r="AV343"/>
      <c r="AW343"/>
      <c r="BK343" s="66"/>
      <c r="BL343"/>
      <c r="BM343"/>
      <c r="BN343"/>
      <c r="BO343"/>
      <c r="BQ343" s="66"/>
      <c r="BR343"/>
      <c r="BS343"/>
      <c r="BT343"/>
      <c r="BU343"/>
    </row>
    <row r="344" spans="39:73" x14ac:dyDescent="0.25">
      <c r="AM344" s="66"/>
      <c r="AN344"/>
      <c r="AO344"/>
      <c r="AP344"/>
      <c r="AQ344"/>
      <c r="AS344" s="66"/>
      <c r="AT344"/>
      <c r="AU344"/>
      <c r="AV344"/>
      <c r="AW344"/>
      <c r="BK344" s="66"/>
      <c r="BL344"/>
      <c r="BM344"/>
      <c r="BN344"/>
      <c r="BO344"/>
      <c r="BQ344" s="66"/>
      <c r="BR344"/>
      <c r="BS344"/>
      <c r="BT344"/>
      <c r="BU344"/>
    </row>
    <row r="345" spans="39:73" x14ac:dyDescent="0.25">
      <c r="AM345" s="66"/>
      <c r="AN345"/>
      <c r="AO345"/>
      <c r="AP345"/>
      <c r="AQ345"/>
      <c r="AS345" s="66"/>
      <c r="AT345"/>
      <c r="AU345"/>
      <c r="AV345"/>
      <c r="AW345"/>
      <c r="BK345" s="66"/>
      <c r="BL345"/>
      <c r="BM345"/>
      <c r="BN345"/>
      <c r="BO345"/>
      <c r="BQ345" s="66"/>
      <c r="BR345"/>
      <c r="BS345"/>
      <c r="BT345"/>
      <c r="BU345"/>
    </row>
    <row r="346" spans="39:73" x14ac:dyDescent="0.25">
      <c r="AM346" s="66"/>
      <c r="AN346"/>
      <c r="AO346"/>
      <c r="AP346"/>
      <c r="AQ346"/>
      <c r="AS346" s="66"/>
      <c r="AT346"/>
      <c r="AU346"/>
      <c r="AV346"/>
      <c r="AW346"/>
      <c r="BK346" s="66"/>
      <c r="BL346"/>
      <c r="BM346"/>
      <c r="BN346"/>
      <c r="BO346"/>
      <c r="BQ346" s="66"/>
      <c r="BR346"/>
      <c r="BS346"/>
      <c r="BT346"/>
      <c r="BU346"/>
    </row>
    <row r="347" spans="39:73" x14ac:dyDescent="0.25">
      <c r="AM347" s="66"/>
      <c r="AN347"/>
      <c r="AO347"/>
      <c r="AP347"/>
      <c r="AQ347"/>
      <c r="AS347" s="66"/>
      <c r="AT347"/>
      <c r="AU347"/>
      <c r="AV347"/>
      <c r="AW347"/>
      <c r="BK347" s="66"/>
      <c r="BL347"/>
      <c r="BM347"/>
      <c r="BN347"/>
      <c r="BO347"/>
      <c r="BQ347" s="66"/>
      <c r="BR347"/>
      <c r="BS347"/>
      <c r="BT347"/>
      <c r="BU347"/>
    </row>
    <row r="348" spans="39:73" x14ac:dyDescent="0.25">
      <c r="AM348" s="66"/>
      <c r="AN348"/>
      <c r="AO348"/>
      <c r="AP348"/>
      <c r="AQ348"/>
      <c r="AS348" s="66"/>
      <c r="AT348"/>
      <c r="AU348"/>
      <c r="AV348"/>
      <c r="AW348"/>
      <c r="BK348" s="66"/>
      <c r="BL348"/>
      <c r="BM348"/>
      <c r="BN348"/>
      <c r="BO348"/>
      <c r="BQ348" s="66"/>
      <c r="BR348"/>
      <c r="BS348"/>
      <c r="BT348"/>
      <c r="BU348"/>
    </row>
    <row r="349" spans="39:73" x14ac:dyDescent="0.25">
      <c r="AM349" s="66"/>
      <c r="AN349"/>
      <c r="AO349"/>
      <c r="AP349"/>
      <c r="AQ349"/>
      <c r="AS349" s="66"/>
      <c r="AT349"/>
      <c r="AU349"/>
      <c r="AV349"/>
      <c r="AW349"/>
      <c r="BK349" s="66"/>
      <c r="BL349"/>
      <c r="BM349"/>
      <c r="BN349"/>
      <c r="BO349"/>
      <c r="BQ349" s="66"/>
      <c r="BR349"/>
      <c r="BS349"/>
      <c r="BT349"/>
      <c r="BU349"/>
    </row>
    <row r="350" spans="39:73" x14ac:dyDescent="0.25">
      <c r="AM350" s="66"/>
      <c r="AN350"/>
      <c r="AO350"/>
      <c r="AP350"/>
      <c r="AQ350"/>
      <c r="AS350" s="66"/>
      <c r="AT350"/>
      <c r="AU350"/>
      <c r="AV350"/>
      <c r="AW350"/>
      <c r="BK350" s="66"/>
      <c r="BL350"/>
      <c r="BM350"/>
      <c r="BN350"/>
      <c r="BO350"/>
      <c r="BQ350" s="66"/>
      <c r="BR350"/>
      <c r="BS350"/>
      <c r="BT350"/>
      <c r="BU350"/>
    </row>
    <row r="351" spans="39:73" x14ac:dyDescent="0.25">
      <c r="AM351" s="66"/>
      <c r="AN351"/>
      <c r="AO351"/>
      <c r="AP351"/>
      <c r="AQ351"/>
      <c r="AS351" s="66"/>
      <c r="AT351"/>
      <c r="AU351"/>
      <c r="AV351"/>
      <c r="AW351"/>
      <c r="BK351" s="66"/>
      <c r="BL351"/>
      <c r="BM351"/>
      <c r="BN351"/>
      <c r="BO351"/>
      <c r="BQ351" s="66"/>
      <c r="BR351"/>
      <c r="BS351"/>
      <c r="BT351"/>
      <c r="BU351"/>
    </row>
    <row r="352" spans="39:73" x14ac:dyDescent="0.25">
      <c r="AM352" s="66"/>
      <c r="AN352"/>
      <c r="AO352"/>
      <c r="AP352"/>
      <c r="AQ352"/>
      <c r="AS352" s="66"/>
      <c r="AT352"/>
      <c r="AU352"/>
      <c r="AV352"/>
      <c r="AW352"/>
      <c r="BK352" s="66"/>
      <c r="BL352"/>
      <c r="BM352"/>
      <c r="BN352"/>
      <c r="BO352"/>
      <c r="BQ352" s="66"/>
      <c r="BR352"/>
      <c r="BS352"/>
      <c r="BT352"/>
      <c r="BU352"/>
    </row>
    <row r="353" spans="39:73" x14ac:dyDescent="0.25">
      <c r="AM353" s="66"/>
      <c r="AN353"/>
      <c r="AO353"/>
      <c r="AP353"/>
      <c r="AQ353"/>
      <c r="AS353" s="66"/>
      <c r="AT353"/>
      <c r="AU353"/>
      <c r="AV353"/>
      <c r="AW353"/>
      <c r="BK353" s="66"/>
      <c r="BL353"/>
      <c r="BM353"/>
      <c r="BN353"/>
      <c r="BO353"/>
      <c r="BQ353" s="66"/>
      <c r="BR353"/>
      <c r="BS353"/>
      <c r="BT353"/>
      <c r="BU353"/>
    </row>
    <row r="354" spans="39:73" x14ac:dyDescent="0.25">
      <c r="AM354" s="66"/>
      <c r="AN354"/>
      <c r="AO354"/>
      <c r="AP354"/>
      <c r="AQ354"/>
      <c r="AS354" s="66"/>
      <c r="AT354"/>
      <c r="AU354"/>
      <c r="AV354"/>
      <c r="AW354"/>
      <c r="BK354" s="66"/>
      <c r="BL354"/>
      <c r="BM354"/>
      <c r="BN354"/>
      <c r="BO354"/>
      <c r="BQ354" s="66"/>
      <c r="BR354"/>
      <c r="BS354"/>
      <c r="BT354"/>
      <c r="BU354"/>
    </row>
    <row r="355" spans="39:73" x14ac:dyDescent="0.25">
      <c r="AM355" s="66"/>
      <c r="AN355"/>
      <c r="AO355"/>
      <c r="AP355"/>
      <c r="AQ355"/>
      <c r="AS355" s="66"/>
      <c r="AT355"/>
      <c r="AU355"/>
      <c r="AV355"/>
      <c r="AW355"/>
      <c r="BK355" s="66"/>
      <c r="BL355"/>
      <c r="BM355"/>
      <c r="BN355"/>
      <c r="BO355"/>
      <c r="BQ355" s="66"/>
      <c r="BR355"/>
      <c r="BS355"/>
      <c r="BT355"/>
      <c r="BU355"/>
    </row>
    <row r="356" spans="39:73" x14ac:dyDescent="0.25">
      <c r="AM356" s="66"/>
      <c r="AN356"/>
      <c r="AO356"/>
      <c r="AP356"/>
      <c r="AQ356"/>
      <c r="AS356" s="66"/>
      <c r="AT356"/>
      <c r="AU356"/>
      <c r="AV356"/>
      <c r="AW356"/>
      <c r="BK356" s="66"/>
      <c r="BL356"/>
      <c r="BM356"/>
      <c r="BN356"/>
      <c r="BO356"/>
      <c r="BQ356" s="66"/>
      <c r="BR356"/>
      <c r="BS356"/>
      <c r="BT356"/>
      <c r="BU356"/>
    </row>
    <row r="357" spans="39:73" x14ac:dyDescent="0.25">
      <c r="AM357" s="66"/>
      <c r="AN357"/>
      <c r="AO357"/>
      <c r="AP357"/>
      <c r="AQ357"/>
      <c r="AS357" s="66"/>
      <c r="AT357"/>
      <c r="AU357"/>
      <c r="AV357"/>
      <c r="AW357"/>
      <c r="BK357" s="66"/>
      <c r="BL357"/>
      <c r="BM357"/>
      <c r="BN357"/>
      <c r="BO357"/>
      <c r="BQ357" s="66"/>
      <c r="BR357"/>
      <c r="BS357"/>
      <c r="BT357"/>
      <c r="BU357"/>
    </row>
    <row r="358" spans="39:73" x14ac:dyDescent="0.25">
      <c r="AM358" s="66"/>
      <c r="AN358"/>
      <c r="AO358"/>
      <c r="AP358"/>
      <c r="AQ358"/>
      <c r="AS358" s="66"/>
      <c r="AT358"/>
      <c r="AU358"/>
      <c r="AV358"/>
      <c r="AW358"/>
      <c r="BK358" s="66"/>
      <c r="BL358"/>
      <c r="BM358"/>
      <c r="BN358"/>
      <c r="BO358"/>
      <c r="BQ358" s="66"/>
      <c r="BR358"/>
      <c r="BS358"/>
      <c r="BT358"/>
      <c r="BU358"/>
    </row>
    <row r="359" spans="39:73" x14ac:dyDescent="0.25">
      <c r="AM359" s="66"/>
      <c r="AN359"/>
      <c r="AO359"/>
      <c r="AP359"/>
      <c r="AQ359"/>
      <c r="AS359" s="66"/>
      <c r="AT359"/>
      <c r="AU359"/>
      <c r="AV359"/>
      <c r="AW359"/>
      <c r="BK359" s="66"/>
      <c r="BL359"/>
      <c r="BM359"/>
      <c r="BN359"/>
      <c r="BO359"/>
      <c r="BQ359" s="66"/>
      <c r="BR359"/>
      <c r="BS359"/>
      <c r="BT359"/>
      <c r="BU359"/>
    </row>
    <row r="360" spans="39:73" x14ac:dyDescent="0.25">
      <c r="AM360" s="66"/>
      <c r="AN360"/>
      <c r="AO360"/>
      <c r="AP360"/>
      <c r="AQ360"/>
      <c r="AS360" s="66"/>
      <c r="AT360"/>
      <c r="AU360"/>
      <c r="AV360"/>
      <c r="AW360"/>
      <c r="BK360" s="66"/>
      <c r="BL360"/>
      <c r="BM360"/>
      <c r="BN360"/>
      <c r="BO360"/>
      <c r="BQ360" s="66"/>
      <c r="BR360"/>
      <c r="BS360"/>
      <c r="BT360"/>
      <c r="BU360"/>
    </row>
    <row r="361" spans="39:73" x14ac:dyDescent="0.25">
      <c r="AM361" s="66"/>
      <c r="AN361"/>
      <c r="AO361"/>
      <c r="AP361"/>
      <c r="AQ361"/>
      <c r="AS361" s="66"/>
      <c r="AT361"/>
      <c r="AU361"/>
      <c r="AV361"/>
      <c r="AW361"/>
      <c r="BK361" s="66"/>
      <c r="BL361"/>
      <c r="BM361"/>
      <c r="BN361"/>
      <c r="BO361"/>
      <c r="BQ361" s="66"/>
      <c r="BR361"/>
      <c r="BS361"/>
      <c r="BT361"/>
      <c r="BU361"/>
    </row>
    <row r="362" spans="39:73" x14ac:dyDescent="0.25">
      <c r="AM362" s="66"/>
      <c r="AN362"/>
      <c r="AO362"/>
      <c r="AP362"/>
      <c r="AQ362"/>
      <c r="AS362" s="66"/>
      <c r="AT362"/>
      <c r="AU362"/>
      <c r="AV362"/>
      <c r="AW362"/>
      <c r="BK362" s="66"/>
      <c r="BL362"/>
      <c r="BM362"/>
      <c r="BN362"/>
      <c r="BO362"/>
      <c r="BQ362" s="66"/>
      <c r="BR362"/>
      <c r="BS362"/>
      <c r="BT362"/>
      <c r="BU362"/>
    </row>
    <row r="363" spans="39:73" x14ac:dyDescent="0.25">
      <c r="AM363" s="66"/>
      <c r="AN363"/>
      <c r="AO363"/>
      <c r="AP363"/>
      <c r="AQ363"/>
      <c r="AS363" s="66"/>
      <c r="AT363"/>
      <c r="AU363"/>
      <c r="AV363"/>
      <c r="AW363"/>
      <c r="BK363" s="66"/>
      <c r="BL363"/>
      <c r="BM363"/>
      <c r="BN363"/>
      <c r="BO363"/>
      <c r="BQ363" s="66"/>
      <c r="BR363"/>
      <c r="BS363"/>
      <c r="BT363"/>
      <c r="BU363"/>
    </row>
    <row r="364" spans="39:73" x14ac:dyDescent="0.25">
      <c r="AM364" s="66"/>
      <c r="AN364"/>
      <c r="AO364"/>
      <c r="AP364"/>
      <c r="AQ364"/>
      <c r="AS364" s="66"/>
      <c r="AT364"/>
      <c r="AU364"/>
      <c r="AV364"/>
      <c r="AW364"/>
      <c r="BK364" s="66"/>
      <c r="BL364"/>
      <c r="BM364"/>
      <c r="BN364"/>
      <c r="BO364"/>
      <c r="BQ364" s="66"/>
      <c r="BR364"/>
      <c r="BS364"/>
      <c r="BT364"/>
      <c r="BU364"/>
    </row>
    <row r="365" spans="39:73" x14ac:dyDescent="0.25">
      <c r="AM365" s="66"/>
      <c r="AN365"/>
      <c r="AO365"/>
      <c r="AP365"/>
      <c r="AQ365"/>
      <c r="AS365" s="66"/>
      <c r="AT365"/>
      <c r="AU365"/>
      <c r="AV365"/>
      <c r="AW365"/>
      <c r="BK365" s="66"/>
      <c r="BL365"/>
      <c r="BM365"/>
      <c r="BN365"/>
      <c r="BO365"/>
      <c r="BQ365" s="66"/>
      <c r="BR365"/>
      <c r="BS365"/>
      <c r="BT365"/>
      <c r="BU365"/>
    </row>
    <row r="366" spans="39:73" x14ac:dyDescent="0.25">
      <c r="AM366" s="66"/>
      <c r="AN366"/>
      <c r="AO366"/>
      <c r="AP366"/>
      <c r="AQ366"/>
      <c r="AS366" s="66"/>
      <c r="AT366"/>
      <c r="AU366"/>
      <c r="AV366"/>
      <c r="AW366"/>
      <c r="BK366" s="66"/>
      <c r="BL366"/>
      <c r="BM366"/>
      <c r="BN366"/>
      <c r="BO366"/>
      <c r="BQ366" s="66"/>
      <c r="BR366"/>
      <c r="BS366"/>
      <c r="BT366"/>
      <c r="BU366"/>
    </row>
    <row r="367" spans="39:73" x14ac:dyDescent="0.25">
      <c r="AM367" s="66"/>
      <c r="AN367"/>
      <c r="AO367"/>
      <c r="AP367"/>
      <c r="AQ367"/>
      <c r="AS367" s="66"/>
      <c r="AT367"/>
      <c r="AU367"/>
      <c r="AV367"/>
      <c r="AW367"/>
      <c r="BK367" s="66"/>
      <c r="BL367"/>
      <c r="BM367"/>
      <c r="BN367"/>
      <c r="BO367"/>
      <c r="BQ367" s="66"/>
      <c r="BR367"/>
      <c r="BS367"/>
      <c r="BT367"/>
      <c r="BU367"/>
    </row>
    <row r="368" spans="39:73" x14ac:dyDescent="0.25">
      <c r="AM368" s="66"/>
      <c r="AN368"/>
      <c r="AO368"/>
      <c r="AP368"/>
      <c r="AQ368"/>
      <c r="AS368" s="66"/>
      <c r="AT368"/>
      <c r="AU368"/>
      <c r="AV368"/>
      <c r="AW368"/>
      <c r="BK368" s="66"/>
      <c r="BL368"/>
      <c r="BM368"/>
      <c r="BN368"/>
      <c r="BO368"/>
      <c r="BQ368" s="66"/>
      <c r="BR368"/>
      <c r="BS368"/>
      <c r="BT368"/>
      <c r="BU368"/>
    </row>
    <row r="369" spans="39:73" x14ac:dyDescent="0.25">
      <c r="AM369" s="66"/>
      <c r="AN369"/>
      <c r="AO369"/>
      <c r="AP369"/>
      <c r="AQ369"/>
      <c r="AS369" s="66"/>
      <c r="AT369"/>
      <c r="AU369"/>
      <c r="AV369"/>
      <c r="AW369"/>
      <c r="BK369" s="66"/>
      <c r="BL369"/>
      <c r="BM369"/>
      <c r="BN369"/>
      <c r="BO369"/>
      <c r="BQ369" s="66"/>
      <c r="BR369"/>
      <c r="BS369"/>
      <c r="BT369"/>
      <c r="BU369"/>
    </row>
    <row r="370" spans="39:73" x14ac:dyDescent="0.25">
      <c r="AM370" s="66"/>
      <c r="AN370"/>
      <c r="AO370"/>
      <c r="AP370"/>
      <c r="AQ370"/>
      <c r="AS370" s="66"/>
      <c r="AT370"/>
      <c r="AU370"/>
      <c r="AV370"/>
      <c r="AW370"/>
      <c r="BK370" s="66"/>
      <c r="BL370"/>
      <c r="BM370"/>
      <c r="BN370"/>
      <c r="BO370"/>
      <c r="BQ370" s="66"/>
      <c r="BR370"/>
      <c r="BS370"/>
      <c r="BT370"/>
      <c r="BU370"/>
    </row>
    <row r="371" spans="39:73" x14ac:dyDescent="0.25">
      <c r="AM371" s="66"/>
      <c r="AN371"/>
      <c r="AO371"/>
      <c r="AP371"/>
      <c r="AQ371"/>
      <c r="AS371" s="66"/>
      <c r="AT371"/>
      <c r="AU371"/>
      <c r="AV371"/>
      <c r="AW371"/>
      <c r="BK371" s="66"/>
      <c r="BL371"/>
      <c r="BM371"/>
      <c r="BN371"/>
      <c r="BO371"/>
      <c r="BQ371" s="66"/>
      <c r="BR371"/>
      <c r="BS371"/>
      <c r="BT371"/>
      <c r="BU371"/>
    </row>
    <row r="372" spans="39:73" x14ac:dyDescent="0.25">
      <c r="AM372" s="66"/>
      <c r="AN372"/>
      <c r="AO372"/>
      <c r="AP372"/>
      <c r="AQ372"/>
      <c r="AS372" s="66"/>
      <c r="AT372"/>
      <c r="AU372"/>
      <c r="AV372"/>
      <c r="AW372"/>
      <c r="BK372" s="66"/>
      <c r="BL372"/>
      <c r="BM372"/>
      <c r="BN372"/>
      <c r="BO372"/>
      <c r="BQ372" s="66"/>
      <c r="BR372"/>
      <c r="BS372"/>
      <c r="BT372"/>
      <c r="BU372"/>
    </row>
    <row r="373" spans="39:73" x14ac:dyDescent="0.25">
      <c r="AM373" s="66"/>
      <c r="AN373"/>
      <c r="AO373"/>
      <c r="AP373"/>
      <c r="AQ373"/>
      <c r="AS373" s="66"/>
      <c r="AT373"/>
      <c r="AU373"/>
      <c r="AV373"/>
      <c r="AW373"/>
      <c r="BK373" s="66"/>
      <c r="BL373"/>
      <c r="BM373"/>
      <c r="BN373"/>
      <c r="BO373"/>
      <c r="BQ373" s="66"/>
      <c r="BR373"/>
      <c r="BS373"/>
      <c r="BT373"/>
      <c r="BU373"/>
    </row>
    <row r="374" spans="39:73" x14ac:dyDescent="0.25">
      <c r="AM374" s="66"/>
      <c r="AN374"/>
      <c r="AO374"/>
      <c r="AP374"/>
      <c r="AQ374"/>
      <c r="AS374" s="66"/>
      <c r="AT374"/>
      <c r="AU374"/>
      <c r="AV374"/>
      <c r="AW374"/>
      <c r="BK374" s="66"/>
      <c r="BL374"/>
      <c r="BM374"/>
      <c r="BN374"/>
      <c r="BO374"/>
      <c r="BQ374" s="66"/>
      <c r="BR374"/>
      <c r="BS374"/>
      <c r="BT374"/>
      <c r="BU374"/>
    </row>
    <row r="375" spans="39:73" x14ac:dyDescent="0.25">
      <c r="AM375" s="66"/>
      <c r="AN375"/>
      <c r="AO375"/>
      <c r="AP375"/>
      <c r="AQ375"/>
      <c r="AS375" s="66"/>
      <c r="AT375"/>
      <c r="AU375"/>
      <c r="AV375"/>
      <c r="AW375"/>
      <c r="BK375" s="66"/>
      <c r="BL375"/>
      <c r="BM375"/>
      <c r="BN375"/>
      <c r="BO375"/>
      <c r="BQ375" s="66"/>
      <c r="BR375"/>
      <c r="BS375"/>
      <c r="BT375"/>
      <c r="BU375"/>
    </row>
    <row r="376" spans="39:73" x14ac:dyDescent="0.25">
      <c r="AM376" s="66"/>
      <c r="AN376"/>
      <c r="AO376"/>
      <c r="AP376"/>
      <c r="AQ376"/>
      <c r="AS376" s="66"/>
      <c r="AT376"/>
      <c r="AU376"/>
      <c r="AV376"/>
      <c r="AW376"/>
      <c r="BK376" s="66"/>
      <c r="BL376"/>
      <c r="BM376"/>
      <c r="BN376"/>
      <c r="BO376"/>
      <c r="BQ376" s="66"/>
      <c r="BR376"/>
      <c r="BS376"/>
      <c r="BT376"/>
      <c r="BU376"/>
    </row>
    <row r="377" spans="39:73" x14ac:dyDescent="0.25">
      <c r="AM377" s="66"/>
      <c r="AN377"/>
      <c r="AO377"/>
      <c r="AP377"/>
      <c r="AQ377"/>
      <c r="AS377" s="66"/>
      <c r="AT377"/>
      <c r="AU377"/>
      <c r="AV377"/>
      <c r="AW377"/>
      <c r="BK377" s="66"/>
      <c r="BL377"/>
      <c r="BM377"/>
      <c r="BN377"/>
      <c r="BO377"/>
      <c r="BQ377" s="66"/>
      <c r="BR377"/>
      <c r="BS377"/>
      <c r="BT377"/>
      <c r="BU377"/>
    </row>
    <row r="378" spans="39:73" x14ac:dyDescent="0.25">
      <c r="AM378" s="66"/>
      <c r="AN378"/>
      <c r="AO378"/>
      <c r="AP378"/>
      <c r="AQ378"/>
      <c r="AS378" s="66"/>
      <c r="AT378"/>
      <c r="AU378"/>
      <c r="AV378"/>
      <c r="AW378"/>
      <c r="BK378" s="66"/>
      <c r="BL378"/>
      <c r="BM378"/>
      <c r="BN378"/>
      <c r="BO378"/>
      <c r="BQ378" s="66"/>
      <c r="BR378"/>
      <c r="BS378"/>
      <c r="BT378"/>
      <c r="BU378"/>
    </row>
    <row r="379" spans="39:73" x14ac:dyDescent="0.25">
      <c r="AM379" s="66"/>
      <c r="AN379"/>
      <c r="AO379"/>
      <c r="AP379"/>
      <c r="AQ379"/>
      <c r="AS379" s="66"/>
      <c r="AT379"/>
      <c r="AU379"/>
      <c r="AV379"/>
      <c r="AW379"/>
      <c r="BK379" s="66"/>
      <c r="BL379"/>
      <c r="BM379"/>
      <c r="BN379"/>
      <c r="BO379"/>
      <c r="BQ379" s="66"/>
      <c r="BR379"/>
      <c r="BS379"/>
      <c r="BT379"/>
      <c r="BU379"/>
    </row>
    <row r="380" spans="39:73" x14ac:dyDescent="0.25">
      <c r="AM380" s="66"/>
      <c r="AN380"/>
      <c r="AO380"/>
      <c r="AP380"/>
      <c r="AQ380"/>
      <c r="AS380" s="66"/>
      <c r="AT380"/>
      <c r="AU380"/>
      <c r="AV380"/>
      <c r="AW380"/>
      <c r="BK380" s="66"/>
      <c r="BL380"/>
      <c r="BM380"/>
      <c r="BN380"/>
      <c r="BO380"/>
      <c r="BQ380" s="66"/>
      <c r="BR380"/>
      <c r="BS380"/>
      <c r="BT380"/>
      <c r="BU380"/>
    </row>
    <row r="381" spans="39:73" x14ac:dyDescent="0.25">
      <c r="AM381" s="66"/>
      <c r="AN381"/>
      <c r="AO381"/>
      <c r="AP381"/>
      <c r="AQ381"/>
      <c r="AS381" s="66"/>
      <c r="AT381"/>
      <c r="AU381"/>
      <c r="AV381"/>
      <c r="AW381"/>
      <c r="BK381" s="66"/>
      <c r="BL381"/>
      <c r="BM381"/>
      <c r="BN381"/>
      <c r="BO381"/>
      <c r="BQ381" s="66"/>
      <c r="BR381"/>
      <c r="BS381"/>
      <c r="BT381"/>
      <c r="BU381"/>
    </row>
    <row r="382" spans="39:73" x14ac:dyDescent="0.25">
      <c r="AM382" s="66"/>
      <c r="AN382"/>
      <c r="AO382"/>
      <c r="AP382"/>
      <c r="AQ382"/>
      <c r="AS382" s="66"/>
      <c r="AT382"/>
      <c r="AU382"/>
      <c r="AV382"/>
      <c r="AW382"/>
      <c r="BK382" s="66"/>
      <c r="BL382"/>
      <c r="BM382"/>
      <c r="BN382"/>
      <c r="BO382"/>
      <c r="BQ382" s="66"/>
      <c r="BR382"/>
      <c r="BS382"/>
      <c r="BT382"/>
      <c r="BU382"/>
    </row>
    <row r="383" spans="39:73" x14ac:dyDescent="0.25">
      <c r="AM383" s="66"/>
      <c r="AN383"/>
      <c r="AO383"/>
      <c r="AP383"/>
      <c r="AQ383"/>
      <c r="AS383" s="66"/>
      <c r="AT383"/>
      <c r="AU383"/>
      <c r="AV383"/>
      <c r="AW383"/>
      <c r="BK383" s="66"/>
      <c r="BL383"/>
      <c r="BM383"/>
      <c r="BN383"/>
      <c r="BO383"/>
      <c r="BQ383" s="66"/>
      <c r="BR383"/>
      <c r="BS383"/>
      <c r="BT383"/>
      <c r="BU383"/>
    </row>
    <row r="384" spans="39:73" x14ac:dyDescent="0.25">
      <c r="AM384" s="66"/>
      <c r="AN384"/>
      <c r="AO384"/>
      <c r="AP384"/>
      <c r="AQ384"/>
      <c r="AS384" s="66"/>
      <c r="AT384"/>
      <c r="AU384"/>
      <c r="AV384"/>
      <c r="AW384"/>
      <c r="BK384" s="66"/>
      <c r="BL384"/>
      <c r="BM384"/>
      <c r="BN384"/>
      <c r="BO384"/>
      <c r="BQ384" s="66"/>
      <c r="BR384"/>
      <c r="BS384"/>
      <c r="BT384"/>
      <c r="BU384"/>
    </row>
    <row r="385" spans="39:73" x14ac:dyDescent="0.25">
      <c r="AM385" s="66"/>
      <c r="AN385"/>
      <c r="AO385"/>
      <c r="AP385"/>
      <c r="AQ385"/>
      <c r="AS385" s="66"/>
      <c r="AT385"/>
      <c r="AU385"/>
      <c r="AV385"/>
      <c r="AW385"/>
      <c r="BK385" s="66"/>
      <c r="BL385"/>
      <c r="BM385"/>
      <c r="BN385"/>
      <c r="BO385"/>
      <c r="BQ385" s="66"/>
      <c r="BR385"/>
      <c r="BS385"/>
      <c r="BT385"/>
      <c r="BU385"/>
    </row>
    <row r="386" spans="39:73" x14ac:dyDescent="0.25">
      <c r="AM386" s="66"/>
      <c r="AN386"/>
      <c r="AO386"/>
      <c r="AP386"/>
      <c r="AQ386"/>
      <c r="AS386" s="66"/>
      <c r="AT386"/>
      <c r="AU386"/>
      <c r="AV386"/>
      <c r="AW386"/>
      <c r="BK386" s="66"/>
      <c r="BL386"/>
      <c r="BM386"/>
      <c r="BN386"/>
      <c r="BO386"/>
      <c r="BQ386" s="66"/>
      <c r="BR386"/>
      <c r="BS386"/>
      <c r="BT386"/>
      <c r="BU386"/>
    </row>
    <row r="387" spans="39:73" x14ac:dyDescent="0.25">
      <c r="AM387" s="66"/>
      <c r="AN387"/>
      <c r="AO387"/>
      <c r="AP387"/>
      <c r="AQ387"/>
      <c r="AS387" s="66"/>
      <c r="AT387"/>
      <c r="AU387"/>
      <c r="AV387"/>
      <c r="AW387"/>
      <c r="BK387" s="66"/>
      <c r="BL387"/>
      <c r="BM387"/>
      <c r="BN387"/>
      <c r="BO387"/>
      <c r="BQ387" s="66"/>
      <c r="BR387"/>
      <c r="BS387"/>
      <c r="BT387"/>
      <c r="BU387"/>
    </row>
    <row r="388" spans="39:73" x14ac:dyDescent="0.25">
      <c r="AM388" s="66"/>
      <c r="AN388"/>
      <c r="AO388"/>
      <c r="AP388"/>
      <c r="AQ388"/>
      <c r="AS388" s="66"/>
      <c r="AT388"/>
      <c r="AU388"/>
      <c r="AV388"/>
      <c r="AW388"/>
      <c r="BK388" s="66"/>
      <c r="BL388"/>
      <c r="BM388"/>
      <c r="BN388"/>
      <c r="BO388"/>
      <c r="BQ388" s="66"/>
      <c r="BR388"/>
      <c r="BS388"/>
      <c r="BT388"/>
      <c r="BU388"/>
    </row>
    <row r="389" spans="39:73" x14ac:dyDescent="0.25">
      <c r="AM389" s="66"/>
      <c r="AN389"/>
      <c r="AO389"/>
      <c r="AP389"/>
      <c r="AQ389"/>
      <c r="AS389" s="66"/>
      <c r="AT389"/>
      <c r="AU389"/>
      <c r="AV389"/>
      <c r="AW389"/>
      <c r="BK389" s="66"/>
      <c r="BL389"/>
      <c r="BM389"/>
      <c r="BN389"/>
      <c r="BO389"/>
      <c r="BQ389" s="66"/>
      <c r="BR389"/>
      <c r="BS389"/>
      <c r="BT389"/>
      <c r="BU389"/>
    </row>
    <row r="390" spans="39:73" x14ac:dyDescent="0.25">
      <c r="AM390" s="66"/>
      <c r="AN390"/>
      <c r="AO390"/>
      <c r="AP390"/>
      <c r="AQ390"/>
      <c r="AS390" s="66"/>
      <c r="AT390"/>
      <c r="AU390"/>
      <c r="AV390"/>
      <c r="AW390"/>
      <c r="BK390" s="66"/>
      <c r="BL390"/>
      <c r="BM390"/>
      <c r="BN390"/>
      <c r="BO390"/>
      <c r="BQ390" s="66"/>
      <c r="BR390"/>
      <c r="BS390"/>
      <c r="BT390"/>
      <c r="BU390"/>
    </row>
    <row r="391" spans="39:73" x14ac:dyDescent="0.25">
      <c r="AM391" s="66"/>
      <c r="AN391"/>
      <c r="AO391"/>
      <c r="AP391"/>
      <c r="AQ391"/>
      <c r="AS391" s="66"/>
      <c r="AT391"/>
      <c r="AU391"/>
      <c r="AV391"/>
      <c r="AW391"/>
      <c r="BK391" s="66"/>
      <c r="BL391"/>
      <c r="BM391"/>
      <c r="BN391"/>
      <c r="BO391"/>
      <c r="BQ391" s="66"/>
      <c r="BR391"/>
      <c r="BS391"/>
      <c r="BT391"/>
      <c r="BU391"/>
    </row>
    <row r="392" spans="39:73" x14ac:dyDescent="0.25">
      <c r="AM392" s="66"/>
      <c r="AN392"/>
      <c r="AO392"/>
      <c r="AP392"/>
      <c r="AQ392"/>
      <c r="AS392" s="66"/>
      <c r="AT392"/>
      <c r="AU392"/>
      <c r="AV392"/>
      <c r="AW392"/>
      <c r="BK392" s="66"/>
      <c r="BL392"/>
      <c r="BM392"/>
      <c r="BN392"/>
      <c r="BO392"/>
      <c r="BQ392" s="66"/>
      <c r="BR392"/>
      <c r="BS392"/>
      <c r="BT392"/>
      <c r="BU392"/>
    </row>
    <row r="393" spans="39:73" x14ac:dyDescent="0.25">
      <c r="AM393" s="66"/>
      <c r="AN393"/>
      <c r="AO393"/>
      <c r="AP393"/>
      <c r="AQ393"/>
      <c r="AS393" s="66"/>
      <c r="AT393"/>
      <c r="AU393"/>
      <c r="AV393"/>
      <c r="AW393"/>
      <c r="BK393" s="66"/>
      <c r="BL393"/>
      <c r="BM393"/>
      <c r="BN393"/>
      <c r="BO393"/>
      <c r="BQ393" s="66"/>
      <c r="BR393"/>
      <c r="BS393"/>
      <c r="BT393"/>
      <c r="BU393"/>
    </row>
    <row r="394" spans="39:73" x14ac:dyDescent="0.25">
      <c r="AM394" s="66"/>
      <c r="AN394"/>
      <c r="AO394"/>
      <c r="AP394"/>
      <c r="AQ394"/>
      <c r="AS394" s="66"/>
      <c r="AT394"/>
      <c r="AU394"/>
      <c r="AV394"/>
      <c r="AW394"/>
      <c r="BK394" s="66"/>
      <c r="BL394"/>
      <c r="BM394"/>
      <c r="BN394"/>
      <c r="BO394"/>
      <c r="BQ394" s="66"/>
      <c r="BR394"/>
      <c r="BS394"/>
      <c r="BT394"/>
      <c r="BU394"/>
    </row>
    <row r="395" spans="39:73" x14ac:dyDescent="0.25">
      <c r="AM395" s="66"/>
      <c r="AN395"/>
      <c r="AO395"/>
      <c r="AP395"/>
      <c r="AQ395"/>
      <c r="AS395" s="66"/>
      <c r="AT395"/>
      <c r="AU395"/>
      <c r="AV395"/>
      <c r="AW395"/>
      <c r="BK395" s="66"/>
      <c r="BL395"/>
      <c r="BM395"/>
      <c r="BN395"/>
      <c r="BO395"/>
      <c r="BQ395" s="66"/>
      <c r="BR395"/>
      <c r="BS395"/>
      <c r="BT395"/>
      <c r="BU395"/>
    </row>
    <row r="396" spans="39:73" x14ac:dyDescent="0.25">
      <c r="AM396" s="66"/>
      <c r="AN396"/>
      <c r="AO396"/>
      <c r="AP396"/>
      <c r="AQ396"/>
      <c r="AS396" s="66"/>
      <c r="AT396"/>
      <c r="AU396"/>
      <c r="AV396"/>
      <c r="AW396"/>
      <c r="BK396" s="66"/>
      <c r="BL396"/>
      <c r="BM396"/>
      <c r="BN396"/>
      <c r="BO396"/>
      <c r="BQ396" s="66"/>
      <c r="BR396"/>
      <c r="BS396"/>
      <c r="BT396"/>
      <c r="BU396"/>
    </row>
    <row r="397" spans="39:73" x14ac:dyDescent="0.25">
      <c r="AM397" s="66"/>
      <c r="AN397"/>
      <c r="AO397"/>
      <c r="AP397"/>
      <c r="AQ397"/>
      <c r="AS397" s="66"/>
      <c r="AT397"/>
      <c r="AU397"/>
      <c r="AV397"/>
      <c r="AW397"/>
      <c r="BK397" s="66"/>
      <c r="BL397"/>
      <c r="BM397"/>
      <c r="BN397"/>
      <c r="BO397"/>
      <c r="BQ397" s="66"/>
      <c r="BR397"/>
      <c r="BS397"/>
      <c r="BT397"/>
      <c r="BU397"/>
    </row>
    <row r="398" spans="39:73" x14ac:dyDescent="0.25">
      <c r="AM398" s="66"/>
      <c r="AN398"/>
      <c r="AO398"/>
      <c r="AP398"/>
      <c r="AQ398"/>
      <c r="AS398" s="66"/>
      <c r="AT398"/>
      <c r="AU398"/>
      <c r="AV398"/>
      <c r="AW398"/>
      <c r="BK398" s="66"/>
      <c r="BL398"/>
      <c r="BM398"/>
      <c r="BN398"/>
      <c r="BO398"/>
      <c r="BQ398" s="66"/>
      <c r="BR398"/>
      <c r="BS398"/>
      <c r="BT398"/>
      <c r="BU398"/>
    </row>
    <row r="399" spans="39:73" x14ac:dyDescent="0.25">
      <c r="AM399" s="66"/>
      <c r="AN399"/>
      <c r="AO399"/>
      <c r="AP399"/>
      <c r="AQ399"/>
      <c r="AS399" s="66"/>
      <c r="AT399"/>
      <c r="AU399"/>
      <c r="AV399"/>
      <c r="AW399"/>
      <c r="BK399" s="66"/>
      <c r="BL399"/>
      <c r="BM399"/>
      <c r="BN399"/>
      <c r="BO399"/>
      <c r="BQ399" s="66"/>
      <c r="BR399"/>
      <c r="BS399"/>
      <c r="BT399"/>
      <c r="BU399"/>
    </row>
    <row r="400" spans="39:73" x14ac:dyDescent="0.25">
      <c r="AM400" s="66"/>
      <c r="AN400"/>
      <c r="AO400"/>
      <c r="AP400"/>
      <c r="AQ400"/>
      <c r="AS400" s="66"/>
      <c r="AT400"/>
      <c r="AU400"/>
      <c r="AV400"/>
      <c r="AW400"/>
      <c r="BK400" s="66"/>
      <c r="BL400"/>
      <c r="BM400"/>
      <c r="BN400"/>
      <c r="BO400"/>
      <c r="BQ400" s="66"/>
      <c r="BR400"/>
      <c r="BS400"/>
      <c r="BT400"/>
      <c r="BU400"/>
    </row>
    <row r="401" spans="39:73" x14ac:dyDescent="0.25">
      <c r="AM401" s="66"/>
      <c r="AN401"/>
      <c r="AO401"/>
      <c r="AP401"/>
      <c r="AQ401"/>
      <c r="AS401" s="66"/>
      <c r="AT401"/>
      <c r="AU401"/>
      <c r="AV401"/>
      <c r="AW401"/>
      <c r="BK401" s="66"/>
      <c r="BL401"/>
      <c r="BM401"/>
      <c r="BN401"/>
      <c r="BO401"/>
      <c r="BQ401" s="66"/>
      <c r="BR401"/>
      <c r="BS401"/>
      <c r="BT401"/>
      <c r="BU401"/>
    </row>
    <row r="402" spans="39:73" x14ac:dyDescent="0.25">
      <c r="AM402" s="66"/>
      <c r="AN402"/>
      <c r="AO402"/>
      <c r="AP402"/>
      <c r="AQ402"/>
      <c r="AS402" s="66"/>
      <c r="AT402"/>
      <c r="AU402"/>
      <c r="AV402"/>
      <c r="AW402"/>
      <c r="BK402" s="66"/>
      <c r="BL402"/>
      <c r="BM402"/>
      <c r="BN402"/>
      <c r="BO402"/>
      <c r="BQ402" s="66"/>
      <c r="BR402"/>
      <c r="BS402"/>
      <c r="BT402"/>
      <c r="BU402"/>
    </row>
    <row r="403" spans="39:73" x14ac:dyDescent="0.25">
      <c r="AM403" s="66"/>
      <c r="AN403"/>
      <c r="AO403"/>
      <c r="AP403"/>
      <c r="AQ403"/>
      <c r="AS403" s="66"/>
      <c r="AT403"/>
      <c r="AU403"/>
      <c r="AV403"/>
      <c r="AW403"/>
      <c r="BK403" s="66"/>
      <c r="BL403"/>
      <c r="BM403"/>
      <c r="BN403"/>
      <c r="BO403"/>
      <c r="BQ403" s="66"/>
      <c r="BR403"/>
      <c r="BS403"/>
      <c r="BT403"/>
      <c r="BU403"/>
    </row>
    <row r="404" spans="39:73" x14ac:dyDescent="0.25">
      <c r="AM404" s="66"/>
      <c r="AN404"/>
      <c r="AO404"/>
      <c r="AP404"/>
      <c r="AQ404"/>
      <c r="AS404" s="66"/>
      <c r="AT404"/>
      <c r="AU404"/>
      <c r="AV404"/>
      <c r="AW404"/>
      <c r="BK404" s="66"/>
      <c r="BL404"/>
      <c r="BM404"/>
      <c r="BN404"/>
      <c r="BO404"/>
      <c r="BQ404" s="66"/>
      <c r="BR404"/>
      <c r="BS404"/>
      <c r="BT404"/>
      <c r="BU404"/>
    </row>
    <row r="405" spans="39:73" x14ac:dyDescent="0.25">
      <c r="AM405" s="66"/>
      <c r="AN405"/>
      <c r="AO405"/>
      <c r="AP405"/>
      <c r="AQ405"/>
      <c r="AS405" s="66"/>
      <c r="AT405"/>
      <c r="AU405"/>
      <c r="AV405"/>
      <c r="AW405"/>
      <c r="BK405" s="66"/>
      <c r="BL405"/>
      <c r="BM405"/>
      <c r="BN405"/>
      <c r="BO405"/>
      <c r="BQ405" s="66"/>
      <c r="BR405"/>
      <c r="BS405"/>
      <c r="BT405"/>
      <c r="BU405"/>
    </row>
    <row r="406" spans="39:73" x14ac:dyDescent="0.25">
      <c r="AM406" s="66"/>
      <c r="AN406"/>
      <c r="AO406"/>
      <c r="AP406"/>
      <c r="AQ406"/>
      <c r="AS406" s="66"/>
      <c r="AT406"/>
      <c r="AU406"/>
      <c r="AV406"/>
      <c r="AW406"/>
      <c r="BK406" s="66"/>
      <c r="BL406"/>
      <c r="BM406"/>
      <c r="BN406"/>
      <c r="BO406"/>
      <c r="BQ406" s="66"/>
      <c r="BR406"/>
      <c r="BS406"/>
      <c r="BT406"/>
      <c r="BU406"/>
    </row>
    <row r="407" spans="39:73" x14ac:dyDescent="0.25">
      <c r="AM407" s="66"/>
      <c r="AN407"/>
      <c r="AO407"/>
      <c r="AP407"/>
      <c r="AQ407"/>
      <c r="AS407" s="66"/>
      <c r="AT407"/>
      <c r="AU407"/>
      <c r="AV407"/>
      <c r="AW407"/>
      <c r="BK407" s="66"/>
      <c r="BL407"/>
      <c r="BM407"/>
      <c r="BN407"/>
      <c r="BO407"/>
      <c r="BQ407" s="66"/>
      <c r="BR407"/>
      <c r="BS407"/>
      <c r="BT407"/>
      <c r="BU407"/>
    </row>
    <row r="408" spans="39:73" x14ac:dyDescent="0.25">
      <c r="AM408" s="66"/>
      <c r="AN408"/>
      <c r="AO408"/>
      <c r="AP408"/>
      <c r="AQ408"/>
      <c r="AS408" s="66"/>
      <c r="AT408"/>
      <c r="AU408"/>
      <c r="AV408"/>
      <c r="AW408"/>
      <c r="BK408" s="66"/>
      <c r="BL408"/>
      <c r="BM408"/>
      <c r="BN408"/>
      <c r="BO408"/>
      <c r="BQ408" s="66"/>
      <c r="BR408"/>
      <c r="BS408"/>
      <c r="BT408"/>
      <c r="BU408"/>
    </row>
    <row r="409" spans="39:73" x14ac:dyDescent="0.25">
      <c r="AM409" s="66"/>
      <c r="AN409"/>
      <c r="AO409"/>
      <c r="AP409"/>
      <c r="AQ409"/>
      <c r="AS409" s="66"/>
      <c r="AT409"/>
      <c r="AU409"/>
      <c r="AV409"/>
      <c r="AW409"/>
      <c r="BK409" s="66"/>
      <c r="BL409"/>
      <c r="BM409"/>
      <c r="BN409"/>
      <c r="BO409"/>
      <c r="BQ409" s="66"/>
      <c r="BR409"/>
      <c r="BS409"/>
      <c r="BT409"/>
      <c r="BU409"/>
    </row>
    <row r="410" spans="39:73" x14ac:dyDescent="0.25">
      <c r="AM410" s="66"/>
      <c r="AN410"/>
      <c r="AO410"/>
      <c r="AP410"/>
      <c r="AQ410"/>
      <c r="AS410" s="66"/>
      <c r="AT410"/>
      <c r="AU410"/>
      <c r="AV410"/>
      <c r="AW410"/>
      <c r="BK410" s="66"/>
      <c r="BL410"/>
      <c r="BM410"/>
      <c r="BN410"/>
      <c r="BO410"/>
      <c r="BQ410" s="66"/>
      <c r="BR410"/>
      <c r="BS410"/>
      <c r="BT410"/>
      <c r="BU410"/>
    </row>
    <row r="411" spans="39:73" x14ac:dyDescent="0.25">
      <c r="AM411" s="66"/>
      <c r="AN411"/>
      <c r="AO411"/>
      <c r="AP411"/>
      <c r="AQ411"/>
      <c r="AS411" s="66"/>
      <c r="AT411"/>
      <c r="AU411"/>
      <c r="AV411"/>
      <c r="AW411"/>
      <c r="BK411" s="66"/>
      <c r="BL411"/>
      <c r="BM411"/>
      <c r="BN411"/>
      <c r="BO411"/>
      <c r="BQ411" s="66"/>
      <c r="BR411"/>
      <c r="BS411"/>
      <c r="BT411"/>
      <c r="BU411"/>
    </row>
    <row r="412" spans="39:73" x14ac:dyDescent="0.25">
      <c r="AM412" s="66"/>
      <c r="AN412"/>
      <c r="AO412"/>
      <c r="AP412"/>
      <c r="AQ412"/>
      <c r="AS412" s="66"/>
      <c r="AT412"/>
      <c r="AU412"/>
      <c r="AV412"/>
      <c r="AW412"/>
      <c r="BK412" s="66"/>
      <c r="BL412"/>
      <c r="BM412"/>
      <c r="BN412"/>
      <c r="BO412"/>
      <c r="BQ412" s="66"/>
      <c r="BR412"/>
      <c r="BS412"/>
      <c r="BT412"/>
      <c r="BU412"/>
    </row>
    <row r="413" spans="39:73" x14ac:dyDescent="0.25">
      <c r="AM413" s="66"/>
      <c r="AN413"/>
      <c r="AO413"/>
      <c r="AP413"/>
      <c r="AQ413"/>
      <c r="AS413" s="66"/>
      <c r="AT413"/>
      <c r="AU413"/>
      <c r="AV413"/>
      <c r="AW413"/>
      <c r="BK413" s="66"/>
      <c r="BL413"/>
      <c r="BM413"/>
      <c r="BN413"/>
      <c r="BO413"/>
      <c r="BQ413" s="66"/>
      <c r="BR413"/>
      <c r="BS413"/>
      <c r="BT413"/>
      <c r="BU413"/>
    </row>
    <row r="414" spans="39:73" x14ac:dyDescent="0.25">
      <c r="AM414" s="66"/>
      <c r="AN414"/>
      <c r="AO414"/>
      <c r="AP414"/>
      <c r="AQ414"/>
      <c r="AS414" s="66"/>
      <c r="AT414"/>
      <c r="AU414"/>
      <c r="AV414"/>
      <c r="AW414"/>
      <c r="BK414" s="66"/>
      <c r="BL414"/>
      <c r="BM414"/>
      <c r="BN414"/>
      <c r="BO414"/>
      <c r="BQ414" s="66"/>
      <c r="BR414"/>
      <c r="BS414"/>
      <c r="BT414"/>
      <c r="BU414"/>
    </row>
    <row r="415" spans="39:73" x14ac:dyDescent="0.25">
      <c r="AM415" s="66"/>
      <c r="AN415"/>
      <c r="AO415"/>
      <c r="AP415"/>
      <c r="AQ415"/>
      <c r="AS415" s="66"/>
      <c r="AT415"/>
      <c r="AU415"/>
      <c r="AV415"/>
      <c r="AW415"/>
      <c r="BK415" s="66"/>
      <c r="BL415"/>
      <c r="BM415"/>
      <c r="BN415"/>
      <c r="BO415"/>
      <c r="BQ415" s="66"/>
      <c r="BR415"/>
      <c r="BS415"/>
      <c r="BT415"/>
      <c r="BU415"/>
    </row>
    <row r="416" spans="39:73" x14ac:dyDescent="0.25">
      <c r="AM416" s="66"/>
      <c r="AN416"/>
      <c r="AO416"/>
      <c r="AP416"/>
      <c r="AQ416"/>
      <c r="AS416" s="66"/>
      <c r="AT416"/>
      <c r="AU416"/>
      <c r="AV416"/>
      <c r="AW416"/>
      <c r="BK416" s="66"/>
      <c r="BL416"/>
      <c r="BM416"/>
      <c r="BN416"/>
      <c r="BO416"/>
      <c r="BQ416" s="66"/>
      <c r="BR416"/>
      <c r="BS416"/>
      <c r="BT416"/>
      <c r="BU416"/>
    </row>
    <row r="417" spans="39:73" x14ac:dyDescent="0.25">
      <c r="AM417" s="66"/>
      <c r="AN417"/>
      <c r="AO417"/>
      <c r="AP417"/>
      <c r="AQ417"/>
      <c r="AS417" s="66"/>
      <c r="AT417"/>
      <c r="AU417"/>
      <c r="AV417"/>
      <c r="AW417"/>
      <c r="BK417" s="66"/>
      <c r="BL417"/>
      <c r="BM417"/>
      <c r="BN417"/>
      <c r="BO417"/>
      <c r="BQ417" s="66"/>
      <c r="BR417"/>
      <c r="BS417"/>
      <c r="BT417"/>
      <c r="BU417"/>
    </row>
    <row r="418" spans="39:73" x14ac:dyDescent="0.25">
      <c r="AM418" s="66"/>
      <c r="AN418"/>
      <c r="AO418"/>
      <c r="AP418"/>
      <c r="AQ418"/>
      <c r="AS418" s="66"/>
      <c r="AT418"/>
      <c r="AU418"/>
      <c r="AV418"/>
      <c r="AW418"/>
      <c r="BK418" s="66"/>
      <c r="BL418"/>
      <c r="BM418"/>
      <c r="BN418"/>
      <c r="BO418"/>
      <c r="BQ418" s="66"/>
      <c r="BR418"/>
      <c r="BS418"/>
      <c r="BT418"/>
      <c r="BU418"/>
    </row>
    <row r="419" spans="39:73" x14ac:dyDescent="0.25">
      <c r="AM419" s="66"/>
      <c r="AN419"/>
      <c r="AO419"/>
      <c r="AP419"/>
      <c r="AQ419"/>
      <c r="AS419" s="66"/>
      <c r="AT419"/>
      <c r="AU419"/>
      <c r="AV419"/>
      <c r="AW419"/>
      <c r="BK419" s="66"/>
      <c r="BL419"/>
      <c r="BM419"/>
      <c r="BN419"/>
      <c r="BO419"/>
      <c r="BQ419" s="66"/>
      <c r="BR419"/>
      <c r="BS419"/>
      <c r="BT419"/>
      <c r="BU419"/>
    </row>
    <row r="420" spans="39:73" x14ac:dyDescent="0.25">
      <c r="AM420" s="66"/>
      <c r="AN420"/>
      <c r="AO420"/>
      <c r="AP420"/>
      <c r="AQ420"/>
      <c r="AS420" s="66"/>
      <c r="AT420"/>
      <c r="AU420"/>
      <c r="AV420"/>
      <c r="AW420"/>
      <c r="BK420" s="66"/>
      <c r="BL420"/>
      <c r="BM420"/>
      <c r="BN420"/>
      <c r="BO420"/>
      <c r="BQ420" s="66"/>
      <c r="BR420"/>
      <c r="BS420"/>
      <c r="BT420"/>
      <c r="BU420"/>
    </row>
    <row r="421" spans="39:73" x14ac:dyDescent="0.25">
      <c r="AM421" s="66"/>
      <c r="AN421"/>
      <c r="AO421"/>
      <c r="AP421"/>
      <c r="AQ421"/>
      <c r="AS421" s="66"/>
      <c r="AT421"/>
      <c r="AU421"/>
      <c r="AV421"/>
      <c r="AW421"/>
      <c r="BK421" s="66"/>
      <c r="BL421"/>
      <c r="BM421"/>
      <c r="BN421"/>
      <c r="BO421"/>
      <c r="BQ421" s="66"/>
      <c r="BR421"/>
      <c r="BS421"/>
      <c r="BT421"/>
      <c r="BU421"/>
    </row>
    <row r="422" spans="39:73" x14ac:dyDescent="0.25">
      <c r="AM422" s="66"/>
      <c r="AN422"/>
      <c r="AO422"/>
      <c r="AP422"/>
      <c r="AQ422"/>
      <c r="AS422" s="66"/>
      <c r="AT422"/>
      <c r="AU422"/>
      <c r="AV422"/>
      <c r="AW422"/>
      <c r="BK422" s="66"/>
      <c r="BL422"/>
      <c r="BM422"/>
      <c r="BN422"/>
      <c r="BO422"/>
      <c r="BQ422" s="66"/>
      <c r="BR422"/>
      <c r="BS422"/>
      <c r="BT422"/>
      <c r="BU422"/>
    </row>
    <row r="423" spans="39:73" x14ac:dyDescent="0.25">
      <c r="AM423" s="66"/>
      <c r="AN423"/>
      <c r="AO423"/>
      <c r="AP423"/>
      <c r="AQ423"/>
      <c r="AS423" s="66"/>
      <c r="AT423"/>
      <c r="AU423"/>
      <c r="AV423"/>
      <c r="AW423"/>
      <c r="BK423" s="66"/>
      <c r="BL423"/>
      <c r="BM423"/>
      <c r="BN423"/>
      <c r="BO423"/>
      <c r="BQ423" s="66"/>
      <c r="BR423"/>
      <c r="BS423"/>
      <c r="BT423"/>
      <c r="BU423"/>
    </row>
    <row r="424" spans="39:73" x14ac:dyDescent="0.25">
      <c r="AM424" s="66"/>
      <c r="AN424"/>
      <c r="AO424"/>
      <c r="AP424"/>
      <c r="AQ424"/>
      <c r="AS424" s="66"/>
      <c r="AT424"/>
      <c r="AU424"/>
      <c r="AV424"/>
      <c r="AW424"/>
      <c r="BK424" s="66"/>
      <c r="BL424"/>
      <c r="BM424"/>
      <c r="BN424"/>
      <c r="BO424"/>
      <c r="BQ424" s="66"/>
      <c r="BR424"/>
      <c r="BS424"/>
      <c r="BT424"/>
      <c r="BU424"/>
    </row>
    <row r="425" spans="39:73" x14ac:dyDescent="0.25">
      <c r="AM425" s="66"/>
      <c r="AN425"/>
      <c r="AO425"/>
      <c r="AP425"/>
      <c r="AQ425"/>
      <c r="AS425" s="66"/>
      <c r="AT425"/>
      <c r="AU425"/>
      <c r="AV425"/>
      <c r="AW425"/>
      <c r="BK425" s="66"/>
      <c r="BL425"/>
      <c r="BM425"/>
      <c r="BN425"/>
      <c r="BO425"/>
      <c r="BQ425" s="66"/>
      <c r="BR425"/>
      <c r="BS425"/>
      <c r="BT425"/>
      <c r="BU425"/>
    </row>
    <row r="426" spans="39:73" x14ac:dyDescent="0.25">
      <c r="AM426" s="66"/>
      <c r="AN426"/>
      <c r="AO426"/>
      <c r="AP426"/>
      <c r="AQ426"/>
      <c r="AS426" s="66"/>
      <c r="AT426"/>
      <c r="AU426"/>
      <c r="AV426"/>
      <c r="AW426"/>
      <c r="BK426" s="66"/>
      <c r="BL426"/>
      <c r="BM426"/>
      <c r="BN426"/>
      <c r="BO426"/>
      <c r="BQ426" s="66"/>
      <c r="BR426"/>
      <c r="BS426"/>
      <c r="BT426"/>
      <c r="BU426"/>
    </row>
    <row r="427" spans="39:73" x14ac:dyDescent="0.25">
      <c r="AM427" s="66"/>
      <c r="AN427"/>
      <c r="AO427"/>
      <c r="AP427"/>
      <c r="AQ427"/>
      <c r="AS427" s="66"/>
      <c r="AT427"/>
      <c r="AU427"/>
      <c r="AV427"/>
      <c r="AW427"/>
      <c r="BK427" s="66"/>
      <c r="BL427"/>
      <c r="BM427"/>
      <c r="BN427"/>
      <c r="BO427"/>
      <c r="BQ427" s="66"/>
      <c r="BR427"/>
      <c r="BS427"/>
      <c r="BT427"/>
      <c r="BU427"/>
    </row>
    <row r="428" spans="39:73" x14ac:dyDescent="0.25">
      <c r="AM428" s="66"/>
      <c r="AN428"/>
      <c r="AO428"/>
      <c r="AP428"/>
      <c r="AQ428"/>
      <c r="AS428" s="66"/>
      <c r="AT428"/>
      <c r="AU428"/>
      <c r="AV428"/>
      <c r="AW428"/>
      <c r="BK428" s="66"/>
      <c r="BL428"/>
      <c r="BM428"/>
      <c r="BN428"/>
      <c r="BO428"/>
      <c r="BQ428" s="66"/>
      <c r="BR428"/>
      <c r="BS428"/>
      <c r="BT428"/>
      <c r="BU428"/>
    </row>
    <row r="429" spans="39:73" x14ac:dyDescent="0.25">
      <c r="AM429" s="66"/>
      <c r="AN429"/>
      <c r="AO429"/>
      <c r="AP429"/>
      <c r="AQ429"/>
      <c r="AS429" s="66"/>
      <c r="AT429"/>
      <c r="AU429"/>
      <c r="AV429"/>
      <c r="AW429"/>
      <c r="BK429" s="66"/>
      <c r="BL429"/>
      <c r="BM429"/>
      <c r="BN429"/>
      <c r="BO429"/>
      <c r="BQ429" s="66"/>
      <c r="BR429"/>
      <c r="BS429"/>
      <c r="BT429"/>
      <c r="BU429"/>
    </row>
    <row r="430" spans="39:73" x14ac:dyDescent="0.25">
      <c r="AM430" s="66"/>
      <c r="AN430"/>
      <c r="AO430"/>
      <c r="AP430"/>
      <c r="AQ430"/>
      <c r="AS430" s="66"/>
      <c r="AT430"/>
      <c r="AU430"/>
      <c r="AV430"/>
      <c r="AW430"/>
      <c r="BK430" s="66"/>
      <c r="BL430"/>
      <c r="BM430"/>
      <c r="BN430"/>
      <c r="BO430"/>
      <c r="BQ430" s="66"/>
      <c r="BR430"/>
      <c r="BS430"/>
      <c r="BT430"/>
      <c r="BU430"/>
    </row>
    <row r="431" spans="39:73" x14ac:dyDescent="0.25">
      <c r="AM431" s="66"/>
      <c r="AN431"/>
      <c r="AO431"/>
      <c r="AP431"/>
      <c r="AQ431"/>
      <c r="AS431" s="66"/>
      <c r="AT431"/>
      <c r="AU431"/>
      <c r="AV431"/>
      <c r="AW431"/>
      <c r="BK431" s="66"/>
      <c r="BL431"/>
      <c r="BM431"/>
      <c r="BN431"/>
      <c r="BO431"/>
      <c r="BQ431" s="66"/>
      <c r="BR431"/>
      <c r="BS431"/>
      <c r="BT431"/>
      <c r="BU431"/>
    </row>
    <row r="432" spans="39:73" x14ac:dyDescent="0.25">
      <c r="AM432" s="66"/>
      <c r="AN432"/>
      <c r="AO432"/>
      <c r="AP432"/>
      <c r="AQ432"/>
      <c r="AS432" s="66"/>
      <c r="AT432"/>
      <c r="AU432"/>
      <c r="AV432"/>
      <c r="AW432"/>
      <c r="BK432" s="66"/>
      <c r="BL432"/>
      <c r="BM432"/>
      <c r="BN432"/>
      <c r="BO432"/>
      <c r="BQ432" s="66"/>
      <c r="BR432"/>
      <c r="BS432"/>
      <c r="BT432"/>
      <c r="BU432"/>
    </row>
    <row r="433" spans="39:73" x14ac:dyDescent="0.25">
      <c r="AM433" s="66"/>
      <c r="AN433"/>
      <c r="AO433"/>
      <c r="AP433"/>
      <c r="AQ433"/>
      <c r="AS433" s="66"/>
      <c r="AT433"/>
      <c r="AU433"/>
      <c r="AV433"/>
      <c r="AW433"/>
      <c r="BK433" s="66"/>
      <c r="BL433"/>
      <c r="BM433"/>
      <c r="BN433"/>
      <c r="BO433"/>
      <c r="BQ433" s="66"/>
      <c r="BR433"/>
      <c r="BS433"/>
      <c r="BT433"/>
      <c r="BU433"/>
    </row>
    <row r="434" spans="39:73" x14ac:dyDescent="0.25">
      <c r="AM434" s="66"/>
      <c r="AN434"/>
      <c r="AO434"/>
      <c r="AP434"/>
      <c r="AQ434"/>
      <c r="AS434" s="66"/>
      <c r="AT434"/>
      <c r="AU434"/>
      <c r="AV434"/>
      <c r="AW434"/>
      <c r="BK434" s="66"/>
      <c r="BL434"/>
      <c r="BM434"/>
      <c r="BN434"/>
      <c r="BO434"/>
      <c r="BQ434" s="66"/>
      <c r="BR434"/>
      <c r="BS434"/>
      <c r="BT434"/>
      <c r="BU434"/>
    </row>
    <row r="435" spans="39:73" x14ac:dyDescent="0.25">
      <c r="AM435" s="66"/>
      <c r="AN435"/>
      <c r="AO435"/>
      <c r="AP435"/>
      <c r="AQ435"/>
      <c r="AS435" s="66"/>
      <c r="AT435"/>
      <c r="AU435"/>
      <c r="AV435"/>
      <c r="AW435"/>
      <c r="BK435" s="66"/>
      <c r="BL435"/>
      <c r="BM435"/>
      <c r="BN435"/>
      <c r="BO435"/>
      <c r="BQ435" s="66"/>
      <c r="BR435"/>
      <c r="BS435"/>
      <c r="BT435"/>
      <c r="BU435"/>
    </row>
    <row r="436" spans="39:73" x14ac:dyDescent="0.25">
      <c r="AM436" s="66"/>
      <c r="AN436"/>
      <c r="AO436"/>
      <c r="AP436"/>
      <c r="AQ436"/>
      <c r="AS436" s="66"/>
      <c r="AT436"/>
      <c r="AU436"/>
      <c r="AV436"/>
      <c r="AW436"/>
      <c r="BK436" s="66"/>
      <c r="BL436"/>
      <c r="BM436"/>
      <c r="BN436"/>
      <c r="BO436"/>
      <c r="BQ436" s="66"/>
      <c r="BR436"/>
      <c r="BS436"/>
      <c r="BT436"/>
      <c r="BU436"/>
    </row>
    <row r="437" spans="39:73" x14ac:dyDescent="0.25">
      <c r="AM437" s="66"/>
      <c r="AN437"/>
      <c r="AO437"/>
      <c r="AP437"/>
      <c r="AQ437"/>
      <c r="AS437" s="66"/>
      <c r="AT437"/>
      <c r="AU437"/>
      <c r="AV437"/>
      <c r="AW437"/>
      <c r="BK437" s="66"/>
      <c r="BL437"/>
      <c r="BM437"/>
      <c r="BN437"/>
      <c r="BO437"/>
      <c r="BQ437" s="66"/>
      <c r="BR437"/>
      <c r="BS437"/>
      <c r="BT437"/>
      <c r="BU437"/>
    </row>
    <row r="438" spans="39:73" x14ac:dyDescent="0.25">
      <c r="AM438" s="66"/>
      <c r="AN438"/>
      <c r="AO438"/>
      <c r="AP438"/>
      <c r="AQ438"/>
      <c r="AS438" s="66"/>
      <c r="AT438"/>
      <c r="AU438"/>
      <c r="AV438"/>
      <c r="AW438"/>
      <c r="BK438" s="66"/>
      <c r="BL438"/>
      <c r="BM438"/>
      <c r="BN438"/>
      <c r="BO438"/>
      <c r="BQ438" s="66"/>
      <c r="BR438"/>
      <c r="BS438"/>
      <c r="BT438"/>
      <c r="BU438"/>
    </row>
    <row r="439" spans="39:73" x14ac:dyDescent="0.25">
      <c r="AM439" s="66"/>
      <c r="AN439"/>
      <c r="AO439"/>
      <c r="AP439"/>
      <c r="AQ439"/>
      <c r="AS439" s="66"/>
      <c r="AT439"/>
      <c r="AU439"/>
      <c r="AV439"/>
      <c r="AW439"/>
      <c r="BK439" s="66"/>
      <c r="BL439"/>
      <c r="BM439"/>
      <c r="BN439"/>
      <c r="BO439"/>
      <c r="BQ439" s="66"/>
      <c r="BR439"/>
      <c r="BS439"/>
      <c r="BT439"/>
      <c r="BU439"/>
    </row>
    <row r="440" spans="39:73" x14ac:dyDescent="0.25">
      <c r="AM440" s="66"/>
      <c r="AN440"/>
      <c r="AO440"/>
      <c r="AP440"/>
      <c r="AQ440"/>
      <c r="AS440" s="66"/>
      <c r="AT440"/>
      <c r="AU440"/>
      <c r="AV440"/>
      <c r="AW440"/>
      <c r="BK440" s="66"/>
      <c r="BL440"/>
      <c r="BM440"/>
      <c r="BN440"/>
      <c r="BO440"/>
      <c r="BQ440" s="66"/>
      <c r="BR440"/>
      <c r="BS440"/>
      <c r="BT440"/>
      <c r="BU440"/>
    </row>
    <row r="441" spans="39:73" x14ac:dyDescent="0.25">
      <c r="AM441" s="66"/>
      <c r="AN441"/>
      <c r="AO441"/>
      <c r="AP441"/>
      <c r="AQ441"/>
      <c r="AS441" s="66"/>
      <c r="AT441"/>
      <c r="AU441"/>
      <c r="AV441"/>
      <c r="AW441"/>
      <c r="BK441" s="66"/>
      <c r="BL441"/>
      <c r="BM441"/>
      <c r="BN441"/>
      <c r="BO441"/>
      <c r="BQ441" s="66"/>
      <c r="BR441"/>
      <c r="BS441"/>
      <c r="BT441"/>
      <c r="BU441"/>
    </row>
    <row r="442" spans="39:73" x14ac:dyDescent="0.25">
      <c r="AM442" s="66"/>
      <c r="AN442"/>
      <c r="AO442"/>
      <c r="AP442"/>
      <c r="AQ442"/>
      <c r="AS442" s="66"/>
      <c r="AT442"/>
      <c r="AU442"/>
      <c r="AV442"/>
      <c r="AW442"/>
      <c r="BK442" s="66"/>
      <c r="BL442"/>
      <c r="BM442"/>
      <c r="BN442"/>
      <c r="BO442"/>
      <c r="BQ442" s="66"/>
      <c r="BR442"/>
      <c r="BS442"/>
      <c r="BT442"/>
      <c r="BU442"/>
    </row>
    <row r="443" spans="39:73" x14ac:dyDescent="0.25">
      <c r="AM443" s="66"/>
      <c r="AN443"/>
      <c r="AO443"/>
      <c r="AP443"/>
      <c r="AQ443"/>
      <c r="AS443" s="66"/>
      <c r="AT443"/>
      <c r="AU443"/>
      <c r="AV443"/>
      <c r="AW443"/>
      <c r="BK443" s="66"/>
      <c r="BL443"/>
      <c r="BM443"/>
      <c r="BN443"/>
      <c r="BO443"/>
      <c r="BQ443" s="66"/>
      <c r="BR443"/>
      <c r="BS443"/>
      <c r="BT443"/>
      <c r="BU443"/>
    </row>
    <row r="444" spans="39:73" x14ac:dyDescent="0.25">
      <c r="AM444" s="66"/>
      <c r="AN444"/>
      <c r="AO444"/>
      <c r="AP444"/>
      <c r="AQ444"/>
      <c r="AS444" s="66"/>
      <c r="AT444"/>
      <c r="AU444"/>
      <c r="AV444"/>
      <c r="AW444"/>
      <c r="BK444" s="66"/>
      <c r="BL444"/>
      <c r="BM444"/>
      <c r="BN444"/>
      <c r="BO444"/>
      <c r="BQ444" s="66"/>
      <c r="BR444"/>
      <c r="BS444"/>
      <c r="BT444"/>
      <c r="BU444"/>
    </row>
    <row r="445" spans="39:73" x14ac:dyDescent="0.25">
      <c r="AM445" s="66"/>
      <c r="AN445"/>
      <c r="AO445"/>
      <c r="AP445"/>
      <c r="AQ445"/>
      <c r="AS445" s="66"/>
      <c r="AT445"/>
      <c r="AU445"/>
      <c r="AV445"/>
      <c r="AW445"/>
      <c r="BK445" s="66"/>
      <c r="BL445"/>
      <c r="BM445"/>
      <c r="BN445"/>
      <c r="BO445"/>
      <c r="BQ445" s="66"/>
      <c r="BR445"/>
      <c r="BS445"/>
      <c r="BT445"/>
      <c r="BU445"/>
    </row>
    <row r="446" spans="39:73" x14ac:dyDescent="0.25">
      <c r="AM446" s="66"/>
      <c r="AN446"/>
      <c r="AO446"/>
      <c r="AP446"/>
      <c r="AQ446"/>
      <c r="AS446" s="66"/>
      <c r="AT446"/>
      <c r="AU446"/>
      <c r="AV446"/>
      <c r="AW446"/>
      <c r="BK446" s="66"/>
      <c r="BL446"/>
      <c r="BM446"/>
      <c r="BN446"/>
      <c r="BO446"/>
      <c r="BQ446" s="66"/>
      <c r="BR446"/>
      <c r="BS446"/>
      <c r="BT446"/>
      <c r="BU446"/>
    </row>
    <row r="447" spans="39:73" x14ac:dyDescent="0.25">
      <c r="AM447" s="66"/>
      <c r="AN447"/>
      <c r="AO447"/>
      <c r="AP447"/>
      <c r="AQ447"/>
      <c r="AS447" s="66"/>
      <c r="AT447"/>
      <c r="AU447"/>
      <c r="AV447"/>
      <c r="AW447"/>
      <c r="BK447" s="66"/>
      <c r="BL447"/>
      <c r="BM447"/>
      <c r="BN447"/>
      <c r="BO447"/>
      <c r="BQ447" s="66"/>
      <c r="BR447"/>
      <c r="BS447"/>
      <c r="BT447"/>
      <c r="BU447"/>
    </row>
    <row r="448" spans="39:73" x14ac:dyDescent="0.25">
      <c r="AM448" s="66"/>
      <c r="AN448"/>
      <c r="AO448"/>
      <c r="AP448"/>
      <c r="AQ448"/>
      <c r="AS448" s="66"/>
      <c r="AT448"/>
      <c r="AU448"/>
      <c r="AV448"/>
      <c r="AW448"/>
      <c r="BK448" s="66"/>
      <c r="BL448"/>
      <c r="BM448"/>
      <c r="BN448"/>
      <c r="BO448"/>
      <c r="BQ448" s="66"/>
      <c r="BR448"/>
      <c r="BS448"/>
      <c r="BT448"/>
      <c r="BU448"/>
    </row>
    <row r="449" spans="39:73" x14ac:dyDescent="0.25">
      <c r="AM449" s="66"/>
      <c r="AN449"/>
      <c r="AO449"/>
      <c r="AP449"/>
      <c r="AQ449"/>
      <c r="AS449" s="66"/>
      <c r="AT449"/>
      <c r="AU449"/>
      <c r="AV449"/>
      <c r="AW449"/>
      <c r="BK449" s="66"/>
      <c r="BL449"/>
      <c r="BM449"/>
      <c r="BN449"/>
      <c r="BO449"/>
      <c r="BQ449" s="66"/>
      <c r="BR449"/>
      <c r="BS449"/>
      <c r="BT449"/>
      <c r="BU449"/>
    </row>
    <row r="450" spans="39:73" x14ac:dyDescent="0.25">
      <c r="AM450" s="66"/>
      <c r="AN450"/>
      <c r="AO450"/>
      <c r="AP450"/>
      <c r="AQ450"/>
      <c r="AS450" s="66"/>
      <c r="AT450"/>
      <c r="AU450"/>
      <c r="AV450"/>
      <c r="AW450"/>
      <c r="BK450" s="66"/>
      <c r="BL450"/>
      <c r="BM450"/>
      <c r="BN450"/>
      <c r="BO450"/>
      <c r="BQ450" s="66"/>
      <c r="BR450"/>
      <c r="BS450"/>
      <c r="BT450"/>
      <c r="BU450"/>
    </row>
    <row r="451" spans="39:73" x14ac:dyDescent="0.25">
      <c r="AM451" s="66"/>
      <c r="AN451"/>
      <c r="AO451"/>
      <c r="AP451"/>
      <c r="AQ451"/>
      <c r="AS451" s="66"/>
      <c r="AT451"/>
      <c r="AU451"/>
      <c r="AV451"/>
      <c r="AW451"/>
      <c r="BK451" s="66"/>
      <c r="BL451"/>
      <c r="BM451"/>
      <c r="BN451"/>
      <c r="BO451"/>
      <c r="BQ451" s="66"/>
      <c r="BR451"/>
      <c r="BS451"/>
      <c r="BT451"/>
      <c r="BU451"/>
    </row>
    <row r="452" spans="39:73" x14ac:dyDescent="0.25">
      <c r="AM452" s="66"/>
      <c r="AN452"/>
      <c r="AO452"/>
      <c r="AP452"/>
      <c r="AQ452"/>
      <c r="AS452" s="66"/>
      <c r="AT452"/>
      <c r="AU452"/>
      <c r="AV452"/>
      <c r="AW452"/>
      <c r="BK452" s="66"/>
      <c r="BL452"/>
      <c r="BM452"/>
      <c r="BN452"/>
      <c r="BO452"/>
      <c r="BQ452" s="66"/>
      <c r="BR452"/>
      <c r="BS452"/>
      <c r="BT452"/>
      <c r="BU452"/>
    </row>
    <row r="453" spans="39:73" x14ac:dyDescent="0.25">
      <c r="AM453" s="66"/>
      <c r="AN453"/>
      <c r="AO453"/>
      <c r="AP453"/>
      <c r="AQ453"/>
      <c r="AS453" s="66"/>
      <c r="AT453"/>
      <c r="AU453"/>
      <c r="AV453"/>
      <c r="AW453"/>
      <c r="BK453" s="66"/>
      <c r="BL453"/>
      <c r="BM453"/>
      <c r="BN453"/>
      <c r="BO453"/>
      <c r="BQ453" s="66"/>
      <c r="BR453"/>
      <c r="BS453"/>
      <c r="BT453"/>
      <c r="BU453"/>
    </row>
    <row r="454" spans="39:73" x14ac:dyDescent="0.25">
      <c r="AM454" s="66"/>
      <c r="AN454"/>
      <c r="AO454"/>
      <c r="AP454"/>
      <c r="AQ454"/>
      <c r="AS454" s="66"/>
      <c r="AT454"/>
      <c r="AU454"/>
      <c r="AV454"/>
      <c r="AW454"/>
      <c r="BK454" s="66"/>
      <c r="BL454"/>
      <c r="BM454"/>
      <c r="BN454"/>
      <c r="BO454"/>
      <c r="BQ454" s="66"/>
      <c r="BR454"/>
      <c r="BS454"/>
      <c r="BT454"/>
      <c r="BU454"/>
    </row>
    <row r="455" spans="39:73" x14ac:dyDescent="0.25">
      <c r="AM455" s="66"/>
      <c r="AN455"/>
      <c r="AO455"/>
      <c r="AP455"/>
      <c r="AQ455"/>
      <c r="AS455" s="66"/>
      <c r="AT455"/>
      <c r="AU455"/>
      <c r="AV455"/>
      <c r="AW455"/>
      <c r="BK455" s="66"/>
      <c r="BL455"/>
      <c r="BM455"/>
      <c r="BN455"/>
      <c r="BO455"/>
      <c r="BQ455" s="66"/>
      <c r="BR455"/>
      <c r="BS455"/>
      <c r="BT455"/>
      <c r="BU455"/>
    </row>
    <row r="456" spans="39:73" x14ac:dyDescent="0.25">
      <c r="AM456" s="66"/>
      <c r="AN456"/>
      <c r="AO456"/>
      <c r="AP456"/>
      <c r="AQ456"/>
      <c r="AS456" s="66"/>
      <c r="AT456"/>
      <c r="AU456"/>
      <c r="AV456"/>
      <c r="AW456"/>
      <c r="BK456" s="66"/>
      <c r="BL456"/>
      <c r="BM456"/>
      <c r="BN456"/>
      <c r="BO456"/>
      <c r="BQ456" s="66"/>
      <c r="BR456"/>
      <c r="BS456"/>
      <c r="BT456"/>
      <c r="BU456"/>
    </row>
    <row r="457" spans="39:73" x14ac:dyDescent="0.25">
      <c r="AM457" s="66"/>
      <c r="AN457"/>
      <c r="AO457"/>
      <c r="AP457"/>
      <c r="AQ457"/>
      <c r="AS457" s="66"/>
      <c r="AT457"/>
      <c r="AU457"/>
      <c r="AV457"/>
      <c r="AW457"/>
      <c r="BK457" s="66"/>
      <c r="BL457"/>
      <c r="BM457"/>
      <c r="BN457"/>
      <c r="BO457"/>
      <c r="BQ457" s="66"/>
      <c r="BR457"/>
      <c r="BS457"/>
      <c r="BT457"/>
      <c r="BU457"/>
    </row>
    <row r="458" spans="39:73" x14ac:dyDescent="0.25">
      <c r="AM458" s="66"/>
      <c r="AN458"/>
      <c r="AO458"/>
      <c r="AP458"/>
      <c r="AQ458"/>
      <c r="AS458" s="66"/>
      <c r="AT458"/>
      <c r="AU458"/>
      <c r="AV458"/>
      <c r="AW458"/>
      <c r="BK458" s="66"/>
      <c r="BL458"/>
      <c r="BM458"/>
      <c r="BN458"/>
      <c r="BO458"/>
      <c r="BQ458" s="66"/>
      <c r="BR458"/>
      <c r="BS458"/>
      <c r="BT458"/>
      <c r="BU458"/>
    </row>
    <row r="459" spans="39:73" x14ac:dyDescent="0.25">
      <c r="AM459" s="66"/>
      <c r="AN459"/>
      <c r="AO459"/>
      <c r="AP459"/>
      <c r="AQ459"/>
      <c r="AS459" s="66"/>
      <c r="AT459"/>
      <c r="AU459"/>
      <c r="AV459"/>
      <c r="AW459"/>
      <c r="BK459" s="66"/>
      <c r="BL459"/>
      <c r="BM459"/>
      <c r="BN459"/>
      <c r="BO459"/>
      <c r="BQ459" s="66"/>
      <c r="BR459"/>
      <c r="BS459"/>
      <c r="BT459"/>
      <c r="BU459"/>
    </row>
    <row r="460" spans="39:73" x14ac:dyDescent="0.25">
      <c r="AM460" s="66"/>
      <c r="AN460"/>
      <c r="AO460"/>
      <c r="AP460"/>
      <c r="AQ460"/>
      <c r="AS460" s="66"/>
      <c r="AT460"/>
      <c r="AU460"/>
      <c r="AV460"/>
      <c r="AW460"/>
      <c r="BK460" s="66"/>
      <c r="BL460"/>
      <c r="BM460"/>
      <c r="BN460"/>
      <c r="BO460"/>
      <c r="BQ460" s="66"/>
      <c r="BR460"/>
      <c r="BS460"/>
      <c r="BT460"/>
      <c r="BU460"/>
    </row>
    <row r="461" spans="39:73" x14ac:dyDescent="0.25">
      <c r="AM461" s="66"/>
      <c r="AN461"/>
      <c r="AO461"/>
      <c r="AP461"/>
      <c r="AQ461"/>
      <c r="AS461" s="66"/>
      <c r="AT461"/>
      <c r="AU461"/>
      <c r="AV461"/>
      <c r="AW461"/>
      <c r="BK461" s="66"/>
      <c r="BL461"/>
      <c r="BM461"/>
      <c r="BN461"/>
      <c r="BO461"/>
      <c r="BQ461" s="66"/>
      <c r="BR461"/>
      <c r="BS461"/>
      <c r="BT461"/>
      <c r="BU461"/>
    </row>
    <row r="462" spans="39:73" x14ac:dyDescent="0.25">
      <c r="AM462" s="66"/>
      <c r="AN462"/>
      <c r="AO462"/>
      <c r="AP462"/>
      <c r="AQ462"/>
      <c r="AS462" s="66"/>
      <c r="AT462"/>
      <c r="AU462"/>
      <c r="AV462"/>
      <c r="AW462"/>
      <c r="BK462" s="66"/>
      <c r="BL462"/>
      <c r="BM462"/>
      <c r="BN462"/>
      <c r="BO462"/>
      <c r="BQ462" s="66"/>
      <c r="BR462"/>
      <c r="BS462"/>
      <c r="BT462"/>
      <c r="BU462"/>
    </row>
    <row r="463" spans="39:73" x14ac:dyDescent="0.25">
      <c r="AM463" s="66"/>
      <c r="AN463"/>
      <c r="AO463"/>
      <c r="AP463"/>
      <c r="AQ463"/>
      <c r="AS463" s="66"/>
      <c r="AT463"/>
      <c r="AU463"/>
      <c r="AV463"/>
      <c r="AW463"/>
      <c r="BK463" s="66"/>
      <c r="BL463"/>
      <c r="BM463"/>
      <c r="BN463"/>
      <c r="BO463"/>
      <c r="BQ463" s="66"/>
      <c r="BR463"/>
      <c r="BS463"/>
      <c r="BT463"/>
      <c r="BU463"/>
    </row>
    <row r="464" spans="39:73" x14ac:dyDescent="0.25">
      <c r="AM464" s="66"/>
      <c r="AN464"/>
      <c r="AO464"/>
      <c r="AP464"/>
      <c r="AQ464"/>
      <c r="AS464" s="66"/>
      <c r="AT464"/>
      <c r="AU464"/>
      <c r="AV464"/>
      <c r="AW464"/>
      <c r="BK464" s="66"/>
      <c r="BL464"/>
      <c r="BM464"/>
      <c r="BN464"/>
      <c r="BO464"/>
      <c r="BQ464" s="66"/>
      <c r="BR464"/>
      <c r="BS464"/>
      <c r="BT464"/>
      <c r="BU464"/>
    </row>
    <row r="465" spans="39:73" x14ac:dyDescent="0.25">
      <c r="AM465" s="66"/>
      <c r="AN465"/>
      <c r="AO465"/>
      <c r="AP465"/>
      <c r="AQ465"/>
      <c r="AS465" s="66"/>
      <c r="AT465"/>
      <c r="AU465"/>
      <c r="AV465"/>
      <c r="AW465"/>
      <c r="BK465" s="66"/>
      <c r="BL465"/>
      <c r="BM465"/>
      <c r="BN465"/>
      <c r="BO465"/>
      <c r="BQ465" s="66"/>
      <c r="BR465"/>
      <c r="BS465"/>
      <c r="BT465"/>
      <c r="BU465"/>
    </row>
    <row r="466" spans="39:73" x14ac:dyDescent="0.25">
      <c r="AM466" s="66"/>
      <c r="AN466"/>
      <c r="AO466"/>
      <c r="AP466"/>
      <c r="AQ466"/>
      <c r="AS466" s="66"/>
      <c r="AT466"/>
      <c r="AU466"/>
      <c r="AV466"/>
      <c r="AW466"/>
      <c r="BK466" s="66"/>
      <c r="BL466"/>
      <c r="BM466"/>
      <c r="BN466"/>
      <c r="BO466"/>
      <c r="BQ466" s="66"/>
      <c r="BR466"/>
      <c r="BS466"/>
      <c r="BT466"/>
      <c r="BU466"/>
    </row>
    <row r="467" spans="39:73" x14ac:dyDescent="0.25">
      <c r="AM467" s="66"/>
      <c r="AN467"/>
      <c r="AO467"/>
      <c r="AP467"/>
      <c r="AQ467"/>
      <c r="AS467" s="66"/>
      <c r="AT467"/>
      <c r="AU467"/>
      <c r="AV467"/>
      <c r="AW467"/>
      <c r="BK467" s="66"/>
      <c r="BL467"/>
      <c r="BM467"/>
      <c r="BN467"/>
      <c r="BO467"/>
      <c r="BQ467" s="66"/>
      <c r="BR467"/>
      <c r="BS467"/>
      <c r="BT467"/>
      <c r="BU467"/>
    </row>
    <row r="468" spans="39:73" x14ac:dyDescent="0.25">
      <c r="AM468" s="66"/>
      <c r="AN468"/>
      <c r="AO468"/>
      <c r="AP468"/>
      <c r="AQ468"/>
      <c r="AS468" s="66"/>
      <c r="AT468"/>
      <c r="AU468"/>
      <c r="AV468"/>
      <c r="AW468"/>
      <c r="BK468" s="66"/>
      <c r="BL468"/>
      <c r="BM468"/>
      <c r="BN468"/>
      <c r="BO468"/>
      <c r="BQ468" s="66"/>
      <c r="BR468"/>
      <c r="BS468"/>
      <c r="BT468"/>
      <c r="BU468"/>
    </row>
    <row r="469" spans="39:73" x14ac:dyDescent="0.25">
      <c r="AM469" s="66"/>
      <c r="AN469"/>
      <c r="AO469"/>
      <c r="AP469"/>
      <c r="AQ469"/>
      <c r="AS469" s="66"/>
      <c r="AT469"/>
      <c r="AU469"/>
      <c r="AV469"/>
      <c r="AW469"/>
      <c r="BK469" s="66"/>
      <c r="BL469"/>
      <c r="BM469"/>
      <c r="BN469"/>
      <c r="BO469"/>
      <c r="BQ469" s="66"/>
      <c r="BR469"/>
      <c r="BS469"/>
      <c r="BT469"/>
      <c r="BU469"/>
    </row>
    <row r="470" spans="39:73" x14ac:dyDescent="0.25">
      <c r="AM470" s="66"/>
      <c r="AN470"/>
      <c r="AO470"/>
      <c r="AP470"/>
      <c r="AQ470"/>
      <c r="AS470" s="66"/>
      <c r="AT470"/>
      <c r="AU470"/>
      <c r="AV470"/>
      <c r="AW470"/>
      <c r="BK470" s="66"/>
      <c r="BL470"/>
      <c r="BM470"/>
      <c r="BN470"/>
      <c r="BO470"/>
      <c r="BQ470" s="66"/>
      <c r="BR470"/>
      <c r="BS470"/>
      <c r="BT470"/>
      <c r="BU470"/>
    </row>
    <row r="471" spans="39:73" x14ac:dyDescent="0.25">
      <c r="AM471" s="66"/>
      <c r="AN471"/>
      <c r="AO471"/>
      <c r="AP471"/>
      <c r="AQ471"/>
      <c r="AS471" s="66"/>
      <c r="AT471"/>
      <c r="AU471"/>
      <c r="AV471"/>
      <c r="AW471"/>
      <c r="BK471" s="66"/>
      <c r="BL471"/>
      <c r="BM471"/>
      <c r="BN471"/>
      <c r="BO471"/>
      <c r="BQ471" s="66"/>
      <c r="BR471"/>
      <c r="BS471"/>
      <c r="BT471"/>
      <c r="BU471"/>
    </row>
    <row r="472" spans="39:73" x14ac:dyDescent="0.25">
      <c r="AM472" s="66"/>
      <c r="AN472"/>
      <c r="AO472"/>
      <c r="AP472"/>
      <c r="AQ472"/>
      <c r="AS472" s="66"/>
      <c r="AT472"/>
      <c r="AU472"/>
      <c r="AV472"/>
      <c r="AW472"/>
      <c r="BK472" s="66"/>
      <c r="BL472"/>
      <c r="BM472"/>
      <c r="BN472"/>
      <c r="BO472"/>
      <c r="BQ472" s="66"/>
      <c r="BR472"/>
      <c r="BS472"/>
      <c r="BT472"/>
      <c r="BU472"/>
    </row>
    <row r="473" spans="39:73" x14ac:dyDescent="0.25">
      <c r="AM473" s="66"/>
      <c r="AN473"/>
      <c r="AO473"/>
      <c r="AP473"/>
      <c r="AQ473"/>
      <c r="AS473" s="66"/>
      <c r="AT473"/>
      <c r="AU473"/>
      <c r="AV473"/>
      <c r="AW473"/>
      <c r="BK473" s="66"/>
      <c r="BL473"/>
      <c r="BM473"/>
      <c r="BN473"/>
      <c r="BO473"/>
      <c r="BQ473" s="66"/>
      <c r="BR473"/>
      <c r="BS473"/>
      <c r="BT473"/>
      <c r="BU473"/>
    </row>
    <row r="474" spans="39:73" x14ac:dyDescent="0.25">
      <c r="AM474" s="66"/>
      <c r="AN474"/>
      <c r="AO474"/>
      <c r="AP474"/>
      <c r="AQ474"/>
      <c r="AS474" s="66"/>
      <c r="AT474"/>
      <c r="AU474"/>
      <c r="AV474"/>
      <c r="AW474"/>
      <c r="BK474" s="66"/>
      <c r="BL474"/>
      <c r="BM474"/>
      <c r="BN474"/>
      <c r="BO474"/>
      <c r="BQ474" s="66"/>
      <c r="BR474"/>
      <c r="BS474"/>
      <c r="BT474"/>
      <c r="BU474"/>
    </row>
    <row r="475" spans="39:73" x14ac:dyDescent="0.25">
      <c r="AM475" s="66"/>
      <c r="AN475"/>
      <c r="AO475"/>
      <c r="AP475"/>
      <c r="AQ475"/>
      <c r="AS475" s="66"/>
      <c r="AT475"/>
      <c r="AU475"/>
      <c r="AV475"/>
      <c r="AW475"/>
      <c r="BK475" s="66"/>
      <c r="BL475"/>
      <c r="BM475"/>
      <c r="BN475"/>
      <c r="BO475"/>
      <c r="BQ475" s="66"/>
      <c r="BR475"/>
      <c r="BS475"/>
      <c r="BT475"/>
      <c r="BU475"/>
    </row>
    <row r="476" spans="39:73" x14ac:dyDescent="0.25">
      <c r="AM476" s="66"/>
      <c r="AN476"/>
      <c r="AO476"/>
      <c r="AP476"/>
      <c r="AQ476"/>
      <c r="AS476" s="66"/>
      <c r="AT476"/>
      <c r="AU476"/>
      <c r="AV476"/>
      <c r="AW476"/>
      <c r="BK476" s="66"/>
      <c r="BL476"/>
      <c r="BM476"/>
      <c r="BN476"/>
      <c r="BO476"/>
      <c r="BQ476" s="66"/>
      <c r="BR476"/>
      <c r="BS476"/>
      <c r="BT476"/>
      <c r="BU476"/>
    </row>
    <row r="477" spans="39:73" x14ac:dyDescent="0.25">
      <c r="AM477" s="66"/>
      <c r="AN477"/>
      <c r="AO477"/>
      <c r="AP477"/>
      <c r="AQ477"/>
      <c r="AS477" s="66"/>
      <c r="AT477"/>
      <c r="AU477"/>
      <c r="AV477"/>
      <c r="AW477"/>
      <c r="BK477" s="66"/>
      <c r="BL477"/>
      <c r="BM477"/>
      <c r="BN477"/>
      <c r="BO477"/>
      <c r="BQ477" s="66"/>
      <c r="BR477"/>
      <c r="BS477"/>
      <c r="BT477"/>
      <c r="BU477"/>
    </row>
    <row r="478" spans="39:73" x14ac:dyDescent="0.25">
      <c r="AM478" s="66"/>
      <c r="AN478"/>
      <c r="AO478"/>
      <c r="AP478"/>
      <c r="AQ478"/>
      <c r="AS478" s="66"/>
      <c r="AT478"/>
      <c r="AU478"/>
      <c r="AV478"/>
      <c r="AW478"/>
      <c r="BK478" s="66"/>
      <c r="BL478"/>
      <c r="BM478"/>
      <c r="BN478"/>
      <c r="BO478"/>
      <c r="BQ478" s="66"/>
      <c r="BR478"/>
      <c r="BS478"/>
      <c r="BT478"/>
      <c r="BU478"/>
    </row>
    <row r="479" spans="39:73" x14ac:dyDescent="0.25">
      <c r="AM479" s="66"/>
      <c r="AN479"/>
      <c r="AO479"/>
      <c r="AP479"/>
      <c r="AQ479"/>
      <c r="AS479" s="66"/>
      <c r="AT479"/>
      <c r="AU479"/>
      <c r="AV479"/>
      <c r="AW479"/>
      <c r="BK479" s="66"/>
      <c r="BL479"/>
      <c r="BM479"/>
      <c r="BN479"/>
      <c r="BO479"/>
      <c r="BQ479" s="66"/>
      <c r="BR479"/>
      <c r="BS479"/>
      <c r="BT479"/>
      <c r="BU479"/>
    </row>
    <row r="480" spans="39:73" x14ac:dyDescent="0.25">
      <c r="AM480" s="66"/>
      <c r="AN480"/>
      <c r="AO480"/>
      <c r="AP480"/>
      <c r="AQ480"/>
      <c r="AS480" s="66"/>
      <c r="AT480"/>
      <c r="AU480"/>
      <c r="AV480"/>
      <c r="AW480"/>
      <c r="BK480" s="66"/>
      <c r="BL480"/>
      <c r="BM480"/>
      <c r="BN480"/>
      <c r="BO480"/>
      <c r="BQ480" s="66"/>
      <c r="BR480"/>
      <c r="BS480"/>
      <c r="BT480"/>
      <c r="BU480"/>
    </row>
    <row r="481" spans="39:73" x14ac:dyDescent="0.25">
      <c r="AM481" s="66"/>
      <c r="AN481"/>
      <c r="AO481"/>
      <c r="AP481"/>
      <c r="AQ481"/>
      <c r="AS481" s="66"/>
      <c r="AT481"/>
      <c r="AU481"/>
      <c r="AV481"/>
      <c r="AW481"/>
      <c r="BK481" s="66"/>
      <c r="BL481"/>
      <c r="BM481"/>
      <c r="BN481"/>
      <c r="BO481"/>
      <c r="BQ481" s="66"/>
      <c r="BR481"/>
      <c r="BS481"/>
      <c r="BT481"/>
      <c r="BU481"/>
    </row>
    <row r="482" spans="39:73" x14ac:dyDescent="0.25">
      <c r="AM482" s="66"/>
      <c r="AN482"/>
      <c r="AO482"/>
      <c r="AP482"/>
      <c r="AQ482"/>
      <c r="AS482" s="66"/>
      <c r="AT482"/>
      <c r="AU482"/>
      <c r="AV482"/>
      <c r="AW482"/>
      <c r="BK482" s="66"/>
      <c r="BL482"/>
      <c r="BM482"/>
      <c r="BN482"/>
      <c r="BO482"/>
      <c r="BQ482" s="66"/>
      <c r="BR482"/>
      <c r="BS482"/>
      <c r="BT482"/>
      <c r="BU482"/>
    </row>
    <row r="483" spans="39:73" x14ac:dyDescent="0.25">
      <c r="AM483" s="66"/>
      <c r="AN483"/>
      <c r="AO483"/>
      <c r="AP483"/>
      <c r="AQ483"/>
      <c r="AS483" s="66"/>
      <c r="AT483"/>
      <c r="AU483"/>
      <c r="AV483"/>
      <c r="AW483"/>
      <c r="BK483" s="66"/>
      <c r="BL483"/>
      <c r="BM483"/>
      <c r="BN483"/>
      <c r="BO483"/>
      <c r="BQ483" s="66"/>
      <c r="BR483"/>
      <c r="BS483"/>
      <c r="BT483"/>
      <c r="BU483"/>
    </row>
    <row r="484" spans="39:73" x14ac:dyDescent="0.25">
      <c r="AM484" s="66"/>
      <c r="AN484"/>
      <c r="AO484"/>
      <c r="AP484"/>
      <c r="AQ484"/>
      <c r="AS484" s="66"/>
      <c r="AT484"/>
      <c r="AU484"/>
      <c r="AV484"/>
      <c r="AW484"/>
      <c r="BK484" s="66"/>
      <c r="BL484"/>
      <c r="BM484"/>
      <c r="BN484"/>
      <c r="BO484"/>
      <c r="BQ484" s="66"/>
      <c r="BR484"/>
      <c r="BS484"/>
      <c r="BT484"/>
      <c r="BU484"/>
    </row>
    <row r="485" spans="39:73" x14ac:dyDescent="0.25">
      <c r="AM485" s="66"/>
      <c r="AN485"/>
      <c r="AO485"/>
      <c r="AP485"/>
      <c r="AQ485"/>
      <c r="AS485" s="66"/>
      <c r="AT485"/>
      <c r="AU485"/>
      <c r="AV485"/>
      <c r="AW485"/>
      <c r="BK485" s="66"/>
      <c r="BL485"/>
      <c r="BM485"/>
      <c r="BN485"/>
      <c r="BO485"/>
      <c r="BQ485" s="66"/>
      <c r="BR485"/>
      <c r="BS485"/>
      <c r="BT485"/>
      <c r="BU485"/>
    </row>
    <row r="486" spans="39:73" x14ac:dyDescent="0.25">
      <c r="AM486" s="66"/>
      <c r="AN486"/>
      <c r="AO486"/>
      <c r="AP486"/>
      <c r="AQ486"/>
      <c r="AS486" s="66"/>
      <c r="AT486"/>
      <c r="AU486"/>
      <c r="AV486"/>
      <c r="AW486"/>
      <c r="BK486" s="66"/>
      <c r="BL486"/>
      <c r="BM486"/>
      <c r="BN486"/>
      <c r="BO486"/>
      <c r="BQ486" s="66"/>
      <c r="BR486"/>
      <c r="BS486"/>
      <c r="BT486"/>
      <c r="BU486"/>
    </row>
    <row r="487" spans="39:73" x14ac:dyDescent="0.25">
      <c r="AM487" s="66"/>
      <c r="AN487"/>
      <c r="AO487"/>
      <c r="AP487"/>
      <c r="AQ487"/>
      <c r="AS487" s="66"/>
      <c r="AT487"/>
      <c r="AU487"/>
      <c r="AV487"/>
      <c r="AW487"/>
      <c r="BK487" s="66"/>
      <c r="BL487"/>
      <c r="BM487"/>
      <c r="BN487"/>
      <c r="BO487"/>
      <c r="BQ487" s="66"/>
      <c r="BR487"/>
      <c r="BS487"/>
      <c r="BT487"/>
      <c r="BU487"/>
    </row>
    <row r="488" spans="39:73" x14ac:dyDescent="0.25">
      <c r="AM488" s="66"/>
      <c r="AN488"/>
      <c r="AO488"/>
      <c r="AP488"/>
      <c r="AQ488"/>
      <c r="AS488" s="66"/>
      <c r="AT488"/>
      <c r="AU488"/>
      <c r="AV488"/>
      <c r="AW488"/>
      <c r="BK488" s="66"/>
      <c r="BL488"/>
      <c r="BM488"/>
      <c r="BN488"/>
      <c r="BO488"/>
      <c r="BQ488" s="66"/>
      <c r="BR488"/>
      <c r="BS488"/>
      <c r="BT488"/>
      <c r="BU488"/>
    </row>
    <row r="489" spans="39:73" x14ac:dyDescent="0.25">
      <c r="AM489" s="66"/>
      <c r="AN489"/>
      <c r="AO489"/>
      <c r="AP489"/>
      <c r="AQ489"/>
      <c r="AS489" s="66"/>
      <c r="AT489"/>
      <c r="AU489"/>
      <c r="AV489"/>
      <c r="AW489"/>
      <c r="BK489" s="66"/>
      <c r="BL489"/>
      <c r="BM489"/>
      <c r="BN489"/>
      <c r="BO489"/>
      <c r="BQ489" s="66"/>
      <c r="BR489"/>
      <c r="BS489"/>
      <c r="BT489"/>
      <c r="BU489"/>
    </row>
    <row r="490" spans="39:73" x14ac:dyDescent="0.25">
      <c r="AM490" s="66"/>
      <c r="AN490"/>
      <c r="AO490"/>
      <c r="AP490"/>
      <c r="AQ490"/>
      <c r="AS490" s="66"/>
      <c r="AT490"/>
      <c r="AU490"/>
      <c r="AV490"/>
      <c r="AW490"/>
      <c r="BK490" s="66"/>
      <c r="BL490"/>
      <c r="BM490"/>
      <c r="BN490"/>
      <c r="BO490"/>
      <c r="BQ490" s="66"/>
      <c r="BR490"/>
      <c r="BS490"/>
      <c r="BT490"/>
      <c r="BU490"/>
    </row>
    <row r="491" spans="39:73" x14ac:dyDescent="0.25">
      <c r="AM491" s="66"/>
      <c r="AN491"/>
      <c r="AO491"/>
      <c r="AP491"/>
      <c r="AQ491"/>
      <c r="AS491" s="66"/>
      <c r="AT491"/>
      <c r="AU491"/>
      <c r="AV491"/>
      <c r="AW491"/>
      <c r="BK491" s="66"/>
      <c r="BL491"/>
      <c r="BM491"/>
      <c r="BN491"/>
      <c r="BO491"/>
      <c r="BQ491" s="66"/>
      <c r="BR491"/>
      <c r="BS491"/>
      <c r="BT491"/>
      <c r="BU491"/>
    </row>
    <row r="492" spans="39:73" x14ac:dyDescent="0.25">
      <c r="AM492" s="66"/>
      <c r="AN492"/>
      <c r="AO492"/>
      <c r="AP492"/>
      <c r="AQ492"/>
      <c r="AS492" s="66"/>
      <c r="AT492"/>
      <c r="AU492"/>
      <c r="AV492"/>
      <c r="AW492"/>
      <c r="BK492" s="66"/>
      <c r="BL492"/>
      <c r="BM492"/>
      <c r="BN492"/>
      <c r="BO492"/>
      <c r="BQ492" s="66"/>
      <c r="BR492"/>
      <c r="BS492"/>
      <c r="BT492"/>
      <c r="BU492"/>
    </row>
    <row r="493" spans="39:73" x14ac:dyDescent="0.25">
      <c r="AM493" s="66"/>
      <c r="AN493"/>
      <c r="AO493"/>
      <c r="AP493"/>
      <c r="AQ493"/>
      <c r="AS493" s="66"/>
      <c r="AT493"/>
      <c r="AU493"/>
      <c r="AV493"/>
      <c r="AW493"/>
      <c r="BK493" s="66"/>
      <c r="BL493"/>
      <c r="BM493"/>
      <c r="BN493"/>
      <c r="BO493"/>
      <c r="BQ493" s="66"/>
      <c r="BR493"/>
      <c r="BS493"/>
      <c r="BT493"/>
      <c r="BU493"/>
    </row>
    <row r="494" spans="39:73" x14ac:dyDescent="0.25">
      <c r="AM494" s="66"/>
      <c r="AN494"/>
      <c r="AO494"/>
      <c r="AP494"/>
      <c r="AQ494"/>
      <c r="AS494" s="66"/>
      <c r="AT494"/>
      <c r="AU494"/>
      <c r="AV494"/>
      <c r="AW494"/>
      <c r="BK494" s="66"/>
      <c r="BL494"/>
      <c r="BM494"/>
      <c r="BN494"/>
      <c r="BO494"/>
      <c r="BQ494" s="66"/>
      <c r="BR494"/>
      <c r="BS494"/>
      <c r="BT494"/>
      <c r="BU494"/>
    </row>
    <row r="495" spans="39:73" x14ac:dyDescent="0.25">
      <c r="AM495" s="66"/>
      <c r="AN495"/>
      <c r="AO495"/>
      <c r="AP495"/>
      <c r="AQ495"/>
      <c r="AS495" s="66"/>
      <c r="AT495"/>
      <c r="AU495"/>
      <c r="AV495"/>
      <c r="AW495"/>
      <c r="BK495" s="66"/>
      <c r="BL495"/>
      <c r="BM495"/>
      <c r="BN495"/>
      <c r="BO495"/>
      <c r="BQ495" s="66"/>
      <c r="BR495"/>
      <c r="BS495"/>
      <c r="BT495"/>
      <c r="BU495"/>
    </row>
    <row r="496" spans="39:73" x14ac:dyDescent="0.25">
      <c r="AM496" s="66"/>
      <c r="AN496"/>
      <c r="AO496"/>
      <c r="AP496"/>
      <c r="AQ496"/>
      <c r="AS496" s="66"/>
      <c r="AT496"/>
      <c r="AU496"/>
      <c r="AV496"/>
      <c r="AW496"/>
      <c r="BK496" s="66"/>
      <c r="BL496"/>
      <c r="BM496"/>
      <c r="BN496"/>
      <c r="BO496"/>
      <c r="BQ496" s="66"/>
      <c r="BR496"/>
      <c r="BS496"/>
      <c r="BT496"/>
      <c r="BU496"/>
    </row>
    <row r="497" spans="39:73" x14ac:dyDescent="0.25">
      <c r="AM497" s="66"/>
      <c r="AN497"/>
      <c r="AO497"/>
      <c r="AP497"/>
      <c r="AQ497"/>
      <c r="AS497" s="66"/>
      <c r="AT497"/>
      <c r="AU497"/>
      <c r="AV497"/>
      <c r="AW497"/>
      <c r="BK497" s="66"/>
      <c r="BL497"/>
      <c r="BM497"/>
      <c r="BN497"/>
      <c r="BO497"/>
      <c r="BQ497" s="66"/>
      <c r="BR497"/>
      <c r="BS497"/>
      <c r="BT497"/>
      <c r="BU497"/>
    </row>
    <row r="498" spans="39:73" x14ac:dyDescent="0.25">
      <c r="AM498" s="66"/>
      <c r="AN498"/>
      <c r="AO498"/>
      <c r="AP498"/>
      <c r="AQ498"/>
      <c r="AS498" s="66"/>
      <c r="AT498"/>
      <c r="AU498"/>
      <c r="AV498"/>
      <c r="AW498"/>
      <c r="BK498" s="66"/>
      <c r="BL498"/>
      <c r="BM498"/>
      <c r="BN498"/>
      <c r="BO498"/>
      <c r="BQ498" s="66"/>
      <c r="BR498"/>
      <c r="BS498"/>
      <c r="BT498"/>
      <c r="BU498"/>
    </row>
    <row r="499" spans="39:73" x14ac:dyDescent="0.25">
      <c r="AM499" s="66"/>
      <c r="AN499"/>
      <c r="AO499"/>
      <c r="AP499"/>
      <c r="AQ499"/>
      <c r="AS499" s="66"/>
      <c r="AT499"/>
      <c r="AU499"/>
      <c r="AV499"/>
      <c r="AW499"/>
      <c r="BK499" s="66"/>
      <c r="BL499"/>
      <c r="BM499"/>
      <c r="BN499"/>
      <c r="BO499"/>
      <c r="BQ499" s="66"/>
      <c r="BR499"/>
      <c r="BS499"/>
      <c r="BT499"/>
      <c r="BU499"/>
    </row>
    <row r="500" spans="39:73" x14ac:dyDescent="0.25">
      <c r="AM500" s="66"/>
      <c r="AN500"/>
      <c r="AO500"/>
      <c r="AP500"/>
      <c r="AQ500"/>
      <c r="AS500" s="66"/>
      <c r="AT500"/>
      <c r="AU500"/>
      <c r="AV500"/>
      <c r="AW500"/>
      <c r="BK500" s="66"/>
      <c r="BL500"/>
      <c r="BM500"/>
      <c r="BN500"/>
      <c r="BO500"/>
      <c r="BQ500" s="66"/>
      <c r="BR500"/>
      <c r="BS500"/>
      <c r="BT500"/>
      <c r="BU500"/>
    </row>
    <row r="501" spans="39:73" x14ac:dyDescent="0.25">
      <c r="AM501" s="66"/>
      <c r="AN501"/>
      <c r="AO501"/>
      <c r="AP501"/>
      <c r="AQ501"/>
      <c r="AS501" s="66"/>
      <c r="AT501"/>
      <c r="AU501"/>
      <c r="AV501"/>
      <c r="AW501"/>
      <c r="BK501" s="66"/>
      <c r="BL501"/>
      <c r="BM501"/>
      <c r="BN501"/>
      <c r="BO501"/>
      <c r="BQ501" s="66"/>
      <c r="BR501"/>
      <c r="BS501"/>
      <c r="BT501"/>
      <c r="BU501"/>
    </row>
    <row r="502" spans="39:73" x14ac:dyDescent="0.25">
      <c r="AM502" s="66"/>
      <c r="AN502"/>
      <c r="AO502"/>
      <c r="AP502"/>
      <c r="AQ502"/>
      <c r="AS502" s="66"/>
      <c r="AT502"/>
      <c r="AU502"/>
      <c r="AV502"/>
      <c r="AW502"/>
      <c r="BK502" s="66"/>
      <c r="BL502"/>
      <c r="BM502"/>
      <c r="BN502"/>
      <c r="BO502"/>
      <c r="BQ502" s="66"/>
      <c r="BR502"/>
      <c r="BS502"/>
      <c r="BT502"/>
      <c r="BU502"/>
    </row>
    <row r="503" spans="39:73" x14ac:dyDescent="0.25">
      <c r="AM503" s="66"/>
      <c r="AN503"/>
      <c r="AO503"/>
      <c r="AP503"/>
      <c r="AQ503"/>
      <c r="AS503" s="66"/>
      <c r="AT503"/>
      <c r="AU503"/>
      <c r="AV503"/>
      <c r="AW503"/>
      <c r="BK503" s="66"/>
      <c r="BL503"/>
      <c r="BM503"/>
      <c r="BN503"/>
      <c r="BO503"/>
      <c r="BQ503" s="66"/>
      <c r="BR503"/>
      <c r="BS503"/>
      <c r="BT503"/>
      <c r="BU503"/>
    </row>
    <row r="504" spans="39:73" x14ac:dyDescent="0.25">
      <c r="AM504" s="66"/>
      <c r="AN504"/>
      <c r="AO504"/>
      <c r="AP504"/>
      <c r="AQ504"/>
      <c r="AS504" s="66"/>
      <c r="AT504"/>
      <c r="AU504"/>
      <c r="AV504"/>
      <c r="AW504"/>
      <c r="BK504" s="66"/>
      <c r="BL504"/>
      <c r="BM504"/>
      <c r="BN504"/>
      <c r="BO504"/>
      <c r="BQ504" s="66"/>
      <c r="BR504"/>
      <c r="BS504"/>
      <c r="BT504"/>
      <c r="BU504"/>
    </row>
    <row r="505" spans="39:73" x14ac:dyDescent="0.25">
      <c r="AM505" s="66"/>
      <c r="AN505"/>
      <c r="AO505"/>
      <c r="AP505"/>
      <c r="AQ505"/>
      <c r="AS505" s="66"/>
      <c r="AT505"/>
      <c r="AU505"/>
      <c r="AV505"/>
      <c r="AW505"/>
      <c r="BK505" s="66"/>
      <c r="BL505"/>
      <c r="BM505"/>
      <c r="BN505"/>
      <c r="BO505"/>
      <c r="BQ505" s="66"/>
      <c r="BR505"/>
      <c r="BS505"/>
      <c r="BT505"/>
      <c r="BU505"/>
    </row>
    <row r="506" spans="39:73" x14ac:dyDescent="0.25">
      <c r="AM506" s="66"/>
      <c r="AN506"/>
      <c r="AO506"/>
      <c r="AP506"/>
      <c r="AQ506"/>
      <c r="AS506" s="66"/>
      <c r="AT506"/>
      <c r="AU506"/>
      <c r="AV506"/>
      <c r="AW506"/>
      <c r="BK506" s="66"/>
      <c r="BL506"/>
      <c r="BM506"/>
      <c r="BN506"/>
      <c r="BO506"/>
      <c r="BQ506" s="66"/>
      <c r="BR506"/>
      <c r="BS506"/>
      <c r="BT506"/>
      <c r="BU506"/>
    </row>
    <row r="507" spans="39:73" x14ac:dyDescent="0.25">
      <c r="AM507" s="66"/>
      <c r="AN507"/>
      <c r="AO507"/>
      <c r="AP507"/>
      <c r="AQ507"/>
      <c r="AS507" s="66"/>
      <c r="AT507"/>
      <c r="AU507"/>
      <c r="AV507"/>
      <c r="AW507"/>
      <c r="BK507" s="66"/>
      <c r="BL507"/>
      <c r="BM507"/>
      <c r="BN507"/>
      <c r="BO507"/>
      <c r="BQ507" s="66"/>
      <c r="BR507"/>
      <c r="BS507"/>
      <c r="BT507"/>
      <c r="BU507"/>
    </row>
    <row r="508" spans="39:73" x14ac:dyDescent="0.25">
      <c r="AM508" s="66"/>
      <c r="AN508"/>
      <c r="AO508"/>
      <c r="AP508"/>
      <c r="AQ508"/>
      <c r="AS508" s="66"/>
      <c r="AT508"/>
      <c r="AU508"/>
      <c r="AV508"/>
      <c r="AW508"/>
      <c r="BK508" s="66"/>
      <c r="BL508"/>
      <c r="BM508"/>
      <c r="BN508"/>
      <c r="BO508"/>
      <c r="BQ508" s="66"/>
      <c r="BR508"/>
      <c r="BS508"/>
      <c r="BT508"/>
      <c r="BU508"/>
    </row>
    <row r="509" spans="39:73" x14ac:dyDescent="0.25">
      <c r="AM509" s="66"/>
      <c r="AN509"/>
      <c r="AO509"/>
      <c r="AP509"/>
      <c r="AQ509"/>
      <c r="AS509" s="66"/>
      <c r="AT509"/>
      <c r="AU509"/>
      <c r="AV509"/>
      <c r="AW509"/>
      <c r="BK509" s="66"/>
      <c r="BL509"/>
      <c r="BM509"/>
      <c r="BN509"/>
      <c r="BO509"/>
      <c r="BQ509" s="66"/>
      <c r="BR509"/>
      <c r="BS509"/>
      <c r="BT509"/>
      <c r="BU509"/>
    </row>
    <row r="510" spans="39:73" x14ac:dyDescent="0.25">
      <c r="AM510" s="66"/>
      <c r="AN510"/>
      <c r="AO510"/>
      <c r="AP510"/>
      <c r="AQ510"/>
      <c r="AS510" s="66"/>
      <c r="AT510"/>
      <c r="AU510"/>
      <c r="AV510"/>
      <c r="AW510"/>
      <c r="BK510" s="66"/>
      <c r="BL510"/>
      <c r="BM510"/>
      <c r="BN510"/>
      <c r="BO510"/>
      <c r="BQ510" s="66"/>
      <c r="BR510"/>
      <c r="BS510"/>
      <c r="BT510"/>
      <c r="BU510"/>
    </row>
    <row r="511" spans="39:73" x14ac:dyDescent="0.25">
      <c r="AM511" s="66"/>
      <c r="AN511"/>
      <c r="AO511"/>
      <c r="AP511"/>
      <c r="AQ511"/>
      <c r="AS511" s="66"/>
      <c r="AT511"/>
      <c r="AU511"/>
      <c r="AV511"/>
      <c r="AW511"/>
      <c r="BK511" s="66"/>
      <c r="BL511"/>
      <c r="BM511"/>
      <c r="BN511"/>
      <c r="BO511"/>
      <c r="BQ511" s="66"/>
      <c r="BR511"/>
      <c r="BS511"/>
      <c r="BT511"/>
      <c r="BU511"/>
    </row>
    <row r="512" spans="39:73" x14ac:dyDescent="0.25">
      <c r="AM512" s="66"/>
      <c r="AN512"/>
      <c r="AO512"/>
      <c r="AP512"/>
      <c r="AQ512"/>
      <c r="AS512" s="66"/>
      <c r="AT512"/>
      <c r="AU512"/>
      <c r="AV512"/>
      <c r="AW512"/>
      <c r="BK512" s="66"/>
      <c r="BL512"/>
      <c r="BM512"/>
      <c r="BN512"/>
      <c r="BO512"/>
      <c r="BQ512" s="66"/>
      <c r="BR512"/>
      <c r="BS512"/>
      <c r="BT512"/>
      <c r="BU512"/>
    </row>
    <row r="513" spans="39:73" x14ac:dyDescent="0.25">
      <c r="AM513" s="66"/>
      <c r="AN513"/>
      <c r="AO513"/>
      <c r="AP513"/>
      <c r="AQ513"/>
      <c r="AS513" s="66"/>
      <c r="AT513"/>
      <c r="AU513"/>
      <c r="AV513"/>
      <c r="AW513"/>
      <c r="BK513" s="66"/>
      <c r="BL513"/>
      <c r="BM513"/>
      <c r="BN513"/>
      <c r="BO513"/>
      <c r="BQ513" s="66"/>
      <c r="BR513"/>
      <c r="BS513"/>
      <c r="BT513"/>
      <c r="BU513"/>
    </row>
    <row r="514" spans="39:73" x14ac:dyDescent="0.25">
      <c r="AM514" s="66"/>
      <c r="AN514"/>
      <c r="AO514"/>
      <c r="AP514"/>
      <c r="AQ514"/>
      <c r="AS514" s="66"/>
      <c r="AT514"/>
      <c r="AU514"/>
      <c r="AV514"/>
      <c r="AW514"/>
      <c r="BK514" s="66"/>
      <c r="BL514"/>
      <c r="BM514"/>
      <c r="BN514"/>
      <c r="BO514"/>
      <c r="BQ514" s="66"/>
      <c r="BR514"/>
      <c r="BS514"/>
      <c r="BT514"/>
      <c r="BU514"/>
    </row>
    <row r="515" spans="39:73" x14ac:dyDescent="0.25">
      <c r="AM515" s="66"/>
      <c r="AN515"/>
      <c r="AO515"/>
      <c r="AP515"/>
      <c r="AQ515"/>
      <c r="AS515" s="66"/>
      <c r="AT515"/>
      <c r="AU515"/>
      <c r="AV515"/>
      <c r="AW515"/>
      <c r="BK515" s="66"/>
      <c r="BL515"/>
      <c r="BM515"/>
      <c r="BN515"/>
      <c r="BO515"/>
      <c r="BQ515" s="66"/>
      <c r="BR515"/>
      <c r="BS515"/>
      <c r="BT515"/>
      <c r="BU515"/>
    </row>
    <row r="516" spans="39:73" x14ac:dyDescent="0.25">
      <c r="AM516" s="66"/>
      <c r="AN516"/>
      <c r="AO516"/>
      <c r="AP516"/>
      <c r="AQ516"/>
      <c r="AS516" s="66"/>
      <c r="AT516"/>
      <c r="AU516"/>
      <c r="AV516"/>
      <c r="AW516"/>
      <c r="BK516" s="66"/>
      <c r="BL516"/>
      <c r="BM516"/>
      <c r="BN516"/>
      <c r="BO516"/>
      <c r="BQ516" s="66"/>
      <c r="BR516"/>
      <c r="BS516"/>
      <c r="BT516"/>
      <c r="BU516"/>
    </row>
    <row r="517" spans="39:73" x14ac:dyDescent="0.25">
      <c r="AM517" s="66"/>
      <c r="AN517"/>
      <c r="AO517"/>
      <c r="AP517"/>
      <c r="AQ517"/>
      <c r="AS517" s="66"/>
      <c r="AT517"/>
      <c r="AU517"/>
      <c r="AV517"/>
      <c r="AW517"/>
      <c r="BK517" s="66"/>
      <c r="BL517"/>
      <c r="BM517"/>
      <c r="BN517"/>
      <c r="BO517"/>
      <c r="BQ517" s="66"/>
      <c r="BR517"/>
      <c r="BS517"/>
      <c r="BT517"/>
      <c r="BU517"/>
    </row>
    <row r="518" spans="39:73" x14ac:dyDescent="0.25">
      <c r="AM518" s="66"/>
      <c r="AN518"/>
      <c r="AO518"/>
      <c r="AP518"/>
      <c r="AQ518"/>
      <c r="AS518" s="66"/>
      <c r="AT518"/>
      <c r="AU518"/>
      <c r="AV518"/>
      <c r="AW518"/>
      <c r="BK518" s="66"/>
      <c r="BL518"/>
      <c r="BM518"/>
      <c r="BN518"/>
      <c r="BO518"/>
      <c r="BQ518" s="66"/>
      <c r="BR518"/>
      <c r="BS518"/>
      <c r="BT518"/>
      <c r="BU518"/>
    </row>
    <row r="519" spans="39:73" x14ac:dyDescent="0.25">
      <c r="AM519" s="66"/>
      <c r="AN519"/>
      <c r="AO519"/>
      <c r="AP519"/>
      <c r="AQ519"/>
      <c r="AS519" s="66"/>
      <c r="AT519"/>
      <c r="AU519"/>
      <c r="AV519"/>
      <c r="AW519"/>
      <c r="BK519" s="66"/>
      <c r="BL519"/>
      <c r="BM519"/>
      <c r="BN519"/>
      <c r="BO519"/>
      <c r="BQ519" s="66"/>
      <c r="BR519"/>
      <c r="BS519"/>
      <c r="BT519"/>
      <c r="BU519"/>
    </row>
    <row r="520" spans="39:73" x14ac:dyDescent="0.25">
      <c r="AM520" s="66"/>
      <c r="AN520"/>
      <c r="AO520"/>
      <c r="AP520"/>
      <c r="AQ520"/>
      <c r="AS520" s="66"/>
      <c r="AT520"/>
      <c r="AU520"/>
      <c r="AV520"/>
      <c r="AW520"/>
      <c r="BK520" s="66"/>
      <c r="BL520"/>
      <c r="BM520"/>
      <c r="BN520"/>
      <c r="BO520"/>
      <c r="BQ520" s="66"/>
      <c r="BR520"/>
      <c r="BS520"/>
      <c r="BT520"/>
      <c r="BU520"/>
    </row>
    <row r="521" spans="39:73" x14ac:dyDescent="0.25">
      <c r="AM521" s="66"/>
      <c r="AN521"/>
      <c r="AO521"/>
      <c r="AP521"/>
      <c r="AQ521"/>
      <c r="AS521" s="66"/>
      <c r="AT521"/>
      <c r="AU521"/>
      <c r="AV521"/>
      <c r="AW521"/>
      <c r="BK521" s="66"/>
      <c r="BL521"/>
      <c r="BM521"/>
      <c r="BN521"/>
      <c r="BO521"/>
      <c r="BQ521" s="66"/>
      <c r="BR521"/>
      <c r="BS521"/>
      <c r="BT521"/>
      <c r="BU521"/>
    </row>
    <row r="522" spans="39:73" x14ac:dyDescent="0.25">
      <c r="AM522" s="66"/>
      <c r="AN522"/>
      <c r="AO522"/>
      <c r="AP522"/>
      <c r="AQ522"/>
      <c r="AS522" s="66"/>
      <c r="AT522"/>
      <c r="AU522"/>
      <c r="AV522"/>
      <c r="AW522"/>
      <c r="BK522" s="66"/>
      <c r="BL522"/>
      <c r="BM522"/>
      <c r="BN522"/>
      <c r="BO522"/>
      <c r="BQ522" s="66"/>
      <c r="BR522"/>
      <c r="BS522"/>
      <c r="BT522"/>
      <c r="BU522"/>
    </row>
    <row r="523" spans="39:73" x14ac:dyDescent="0.25">
      <c r="AM523" s="66"/>
      <c r="AN523"/>
      <c r="AO523"/>
      <c r="AP523"/>
      <c r="AQ523"/>
      <c r="AS523" s="66"/>
      <c r="AT523"/>
      <c r="AU523"/>
      <c r="AV523"/>
      <c r="AW523"/>
      <c r="BK523" s="66"/>
      <c r="BL523"/>
      <c r="BM523"/>
      <c r="BN523"/>
      <c r="BO523"/>
      <c r="BQ523" s="66"/>
      <c r="BR523"/>
      <c r="BS523"/>
      <c r="BT523"/>
      <c r="BU523"/>
    </row>
    <row r="524" spans="39:73" x14ac:dyDescent="0.25">
      <c r="AM524" s="66"/>
      <c r="AN524"/>
      <c r="AO524"/>
      <c r="AP524"/>
      <c r="AQ524"/>
      <c r="AS524" s="66"/>
      <c r="AT524"/>
      <c r="AU524"/>
      <c r="AV524"/>
      <c r="AW524"/>
      <c r="BK524" s="66"/>
      <c r="BL524"/>
      <c r="BM524"/>
      <c r="BN524"/>
      <c r="BO524"/>
      <c r="BQ524" s="66"/>
      <c r="BR524"/>
      <c r="BS524"/>
      <c r="BT524"/>
      <c r="BU524"/>
    </row>
    <row r="525" spans="39:73" x14ac:dyDescent="0.25">
      <c r="AM525" s="66"/>
      <c r="AN525"/>
      <c r="AO525"/>
      <c r="AP525"/>
      <c r="AQ525"/>
      <c r="AS525" s="66"/>
      <c r="AT525"/>
      <c r="AU525"/>
      <c r="AV525"/>
      <c r="AW525"/>
      <c r="BK525" s="66"/>
      <c r="BL525"/>
      <c r="BM525"/>
      <c r="BN525"/>
      <c r="BO525"/>
      <c r="BQ525" s="66"/>
      <c r="BR525"/>
      <c r="BS525"/>
      <c r="BT525"/>
      <c r="BU525"/>
    </row>
    <row r="526" spans="39:73" x14ac:dyDescent="0.25">
      <c r="AM526" s="66"/>
      <c r="AN526"/>
      <c r="AO526"/>
      <c r="AP526"/>
      <c r="AQ526"/>
      <c r="AS526" s="66"/>
      <c r="AT526"/>
      <c r="AU526"/>
      <c r="AV526"/>
      <c r="AW526"/>
      <c r="BK526" s="66"/>
      <c r="BL526"/>
      <c r="BM526"/>
      <c r="BN526"/>
      <c r="BO526"/>
      <c r="BQ526" s="66"/>
      <c r="BR526"/>
      <c r="BS526"/>
      <c r="BT526"/>
      <c r="BU526"/>
    </row>
    <row r="527" spans="39:73" x14ac:dyDescent="0.25">
      <c r="AM527" s="66"/>
      <c r="AN527"/>
      <c r="AO527"/>
      <c r="AP527"/>
      <c r="AQ527"/>
      <c r="AS527" s="66"/>
      <c r="AT527"/>
      <c r="AU527"/>
      <c r="AV527"/>
      <c r="AW527"/>
      <c r="BK527" s="66"/>
      <c r="BL527"/>
      <c r="BM527"/>
      <c r="BN527"/>
      <c r="BO527"/>
      <c r="BQ527" s="66"/>
      <c r="BR527"/>
      <c r="BS527"/>
      <c r="BT527"/>
      <c r="BU527"/>
    </row>
    <row r="528" spans="39:73" x14ac:dyDescent="0.25">
      <c r="AM528" s="66"/>
      <c r="AN528"/>
      <c r="AO528"/>
      <c r="AP528"/>
      <c r="AQ528"/>
      <c r="AS528" s="66"/>
      <c r="AT528"/>
      <c r="AU528"/>
      <c r="AV528"/>
      <c r="AW528"/>
      <c r="BK528" s="66"/>
      <c r="BL528"/>
      <c r="BM528"/>
      <c r="BN528"/>
      <c r="BO528"/>
      <c r="BQ528" s="66"/>
      <c r="BR528"/>
      <c r="BS528"/>
      <c r="BT528"/>
      <c r="BU528"/>
    </row>
    <row r="529" spans="39:73" x14ac:dyDescent="0.25">
      <c r="AM529" s="66"/>
      <c r="AN529"/>
      <c r="AO529"/>
      <c r="AP529"/>
      <c r="AQ529"/>
      <c r="AS529" s="66"/>
      <c r="AT529"/>
      <c r="AU529"/>
      <c r="AV529"/>
      <c r="AW529"/>
      <c r="BK529" s="66"/>
      <c r="BL529"/>
      <c r="BM529"/>
      <c r="BN529"/>
      <c r="BO529"/>
      <c r="BQ529" s="66"/>
      <c r="BR529"/>
      <c r="BS529"/>
      <c r="BT529"/>
      <c r="BU529"/>
    </row>
    <row r="530" spans="39:73" x14ac:dyDescent="0.25">
      <c r="AM530" s="66"/>
      <c r="AN530"/>
      <c r="AO530"/>
      <c r="AP530"/>
      <c r="AQ530"/>
      <c r="AS530" s="66"/>
      <c r="AT530"/>
      <c r="AU530"/>
      <c r="AV530"/>
      <c r="AW530"/>
      <c r="BK530" s="66"/>
      <c r="BL530"/>
      <c r="BM530"/>
      <c r="BN530"/>
      <c r="BO530"/>
      <c r="BQ530" s="66"/>
      <c r="BR530"/>
      <c r="BS530"/>
      <c r="BT530"/>
      <c r="BU530"/>
    </row>
    <row r="531" spans="39:73" x14ac:dyDescent="0.25">
      <c r="AM531" s="66"/>
      <c r="AN531"/>
      <c r="AO531"/>
      <c r="AP531"/>
      <c r="AQ531"/>
      <c r="AS531" s="66"/>
      <c r="AT531"/>
      <c r="AU531"/>
      <c r="AV531"/>
      <c r="AW531"/>
      <c r="BK531" s="66"/>
      <c r="BL531"/>
      <c r="BM531"/>
      <c r="BN531"/>
      <c r="BO531"/>
      <c r="BQ531" s="66"/>
      <c r="BR531"/>
      <c r="BS531"/>
      <c r="BT531"/>
      <c r="BU531"/>
    </row>
    <row r="532" spans="39:73" x14ac:dyDescent="0.25">
      <c r="AM532" s="66"/>
      <c r="AN532"/>
      <c r="AO532"/>
      <c r="AP532"/>
      <c r="AQ532"/>
      <c r="AS532" s="66"/>
      <c r="AT532"/>
      <c r="AU532"/>
      <c r="AV532"/>
      <c r="AW532"/>
      <c r="BK532" s="66"/>
      <c r="BL532"/>
      <c r="BM532"/>
      <c r="BN532"/>
      <c r="BO532"/>
      <c r="BQ532" s="66"/>
      <c r="BR532"/>
      <c r="BS532"/>
      <c r="BT532"/>
      <c r="BU532"/>
    </row>
    <row r="533" spans="39:73" x14ac:dyDescent="0.25">
      <c r="AM533" s="66"/>
      <c r="AN533"/>
      <c r="AO533"/>
      <c r="AP533"/>
      <c r="AQ533"/>
      <c r="AS533" s="66"/>
      <c r="AT533"/>
      <c r="AU533"/>
      <c r="AV533"/>
      <c r="AW533"/>
      <c r="BK533" s="66"/>
      <c r="BL533"/>
      <c r="BM533"/>
      <c r="BN533"/>
      <c r="BO533"/>
      <c r="BQ533" s="66"/>
      <c r="BR533"/>
      <c r="BS533"/>
      <c r="BT533"/>
      <c r="BU533"/>
    </row>
    <row r="534" spans="39:73" x14ac:dyDescent="0.25">
      <c r="AM534" s="66"/>
      <c r="AN534"/>
      <c r="AO534"/>
      <c r="AP534"/>
      <c r="AQ534"/>
      <c r="AS534" s="66"/>
      <c r="AT534"/>
      <c r="AU534"/>
      <c r="AV534"/>
      <c r="AW534"/>
      <c r="BK534" s="66"/>
      <c r="BL534"/>
      <c r="BM534"/>
      <c r="BN534"/>
      <c r="BO534"/>
      <c r="BQ534" s="66"/>
      <c r="BR534"/>
      <c r="BS534"/>
      <c r="BT534"/>
      <c r="BU534"/>
    </row>
    <row r="535" spans="39:73" x14ac:dyDescent="0.25">
      <c r="AM535" s="66"/>
      <c r="AN535"/>
      <c r="AO535"/>
      <c r="AP535"/>
      <c r="AQ535"/>
      <c r="AS535" s="66"/>
      <c r="AT535"/>
      <c r="AU535"/>
      <c r="AV535"/>
      <c r="AW535"/>
      <c r="BK535" s="66"/>
      <c r="BL535"/>
      <c r="BM535"/>
      <c r="BN535"/>
      <c r="BO535"/>
      <c r="BQ535" s="66"/>
      <c r="BR535"/>
      <c r="BS535"/>
      <c r="BT535"/>
      <c r="BU535"/>
    </row>
    <row r="536" spans="39:73" x14ac:dyDescent="0.25">
      <c r="AM536" s="66"/>
      <c r="AN536"/>
      <c r="AO536"/>
      <c r="AP536"/>
      <c r="AQ536"/>
      <c r="AS536" s="66"/>
      <c r="AT536"/>
      <c r="AU536"/>
      <c r="AV536"/>
      <c r="AW536"/>
      <c r="BK536" s="66"/>
      <c r="BL536"/>
      <c r="BM536"/>
      <c r="BN536"/>
      <c r="BO536"/>
      <c r="BQ536" s="66"/>
      <c r="BR536"/>
      <c r="BS536"/>
      <c r="BT536"/>
      <c r="BU536"/>
    </row>
    <row r="537" spans="39:73" x14ac:dyDescent="0.25">
      <c r="AM537" s="66"/>
      <c r="AN537"/>
      <c r="AO537"/>
      <c r="AP537"/>
      <c r="AQ537"/>
      <c r="AS537" s="66"/>
      <c r="AT537"/>
      <c r="AU537"/>
      <c r="AV537"/>
      <c r="AW537"/>
      <c r="BK537" s="66"/>
      <c r="BL537"/>
      <c r="BM537"/>
      <c r="BN537"/>
      <c r="BO537"/>
      <c r="BQ537" s="66"/>
      <c r="BR537"/>
      <c r="BS537"/>
      <c r="BT537"/>
      <c r="BU537"/>
    </row>
    <row r="538" spans="39:73" x14ac:dyDescent="0.25">
      <c r="AM538" s="66"/>
      <c r="AN538"/>
      <c r="AO538"/>
      <c r="AP538"/>
      <c r="AQ538"/>
      <c r="AS538" s="66"/>
      <c r="AT538"/>
      <c r="AU538"/>
      <c r="AV538"/>
      <c r="AW538"/>
      <c r="BK538" s="66"/>
      <c r="BL538"/>
      <c r="BM538"/>
      <c r="BN538"/>
      <c r="BO538"/>
      <c r="BQ538" s="66"/>
      <c r="BR538"/>
      <c r="BS538"/>
      <c r="BT538"/>
      <c r="BU538"/>
    </row>
    <row r="539" spans="39:73" x14ac:dyDescent="0.25">
      <c r="AM539" s="66"/>
      <c r="AN539"/>
      <c r="AO539"/>
      <c r="AP539"/>
      <c r="AQ539"/>
      <c r="AS539" s="66"/>
      <c r="AT539"/>
      <c r="AU539"/>
      <c r="AV539"/>
      <c r="AW539"/>
      <c r="BK539" s="66"/>
      <c r="BL539"/>
      <c r="BM539"/>
      <c r="BN539"/>
      <c r="BO539"/>
      <c r="BQ539" s="66"/>
      <c r="BR539"/>
      <c r="BS539"/>
      <c r="BT539"/>
      <c r="BU539"/>
    </row>
    <row r="540" spans="39:73" x14ac:dyDescent="0.25">
      <c r="AM540" s="66"/>
      <c r="AN540"/>
      <c r="AO540"/>
      <c r="AP540"/>
      <c r="AQ540"/>
      <c r="AS540" s="66"/>
      <c r="AT540"/>
      <c r="AU540"/>
      <c r="AV540"/>
      <c r="AW540"/>
      <c r="BK540" s="66"/>
      <c r="BL540"/>
      <c r="BM540"/>
      <c r="BN540"/>
      <c r="BO540"/>
      <c r="BQ540" s="66"/>
      <c r="BR540"/>
      <c r="BS540"/>
      <c r="BT540"/>
      <c r="BU540"/>
    </row>
    <row r="541" spans="39:73" x14ac:dyDescent="0.25">
      <c r="AM541" s="66"/>
      <c r="AN541"/>
      <c r="AO541"/>
      <c r="AP541"/>
      <c r="AQ541"/>
      <c r="AS541" s="66"/>
      <c r="AT541"/>
      <c r="AU541"/>
      <c r="AV541"/>
      <c r="AW541"/>
      <c r="BK541" s="66"/>
      <c r="BL541"/>
      <c r="BM541"/>
      <c r="BN541"/>
      <c r="BO541"/>
      <c r="BQ541" s="66"/>
      <c r="BR541"/>
      <c r="BS541"/>
      <c r="BT541"/>
      <c r="BU541"/>
    </row>
    <row r="542" spans="39:73" x14ac:dyDescent="0.25">
      <c r="AM542" s="66"/>
      <c r="AN542"/>
      <c r="AO542"/>
      <c r="AP542"/>
      <c r="AQ542"/>
      <c r="AS542" s="66"/>
      <c r="AT542"/>
      <c r="AU542"/>
      <c r="AV542"/>
      <c r="AW542"/>
      <c r="BK542" s="66"/>
      <c r="BL542"/>
      <c r="BM542"/>
      <c r="BN542"/>
      <c r="BO542"/>
      <c r="BQ542" s="66"/>
      <c r="BR542"/>
      <c r="BS542"/>
      <c r="BT542"/>
      <c r="BU542"/>
    </row>
    <row r="543" spans="39:73" x14ac:dyDescent="0.25">
      <c r="AM543" s="66"/>
      <c r="AN543"/>
      <c r="AO543"/>
      <c r="AP543"/>
      <c r="AQ543"/>
      <c r="AS543" s="66"/>
      <c r="AT543"/>
      <c r="AU543"/>
      <c r="AV543"/>
      <c r="AW543"/>
      <c r="BK543" s="66"/>
      <c r="BL543"/>
      <c r="BM543"/>
      <c r="BN543"/>
      <c r="BO543"/>
      <c r="BQ543" s="66"/>
      <c r="BR543"/>
      <c r="BS543"/>
      <c r="BT543"/>
      <c r="BU543"/>
    </row>
    <row r="544" spans="39:73" x14ac:dyDescent="0.25">
      <c r="AM544" s="66"/>
      <c r="AN544"/>
      <c r="AO544"/>
      <c r="AP544"/>
      <c r="AQ544"/>
      <c r="AS544" s="66"/>
      <c r="AT544"/>
      <c r="AU544"/>
      <c r="AV544"/>
      <c r="AW544"/>
      <c r="BK544" s="66"/>
      <c r="BL544"/>
      <c r="BM544"/>
      <c r="BN544"/>
      <c r="BO544"/>
      <c r="BQ544" s="66"/>
      <c r="BR544"/>
      <c r="BS544"/>
      <c r="BT544"/>
      <c r="BU544"/>
    </row>
    <row r="545" spans="39:73" x14ac:dyDescent="0.25">
      <c r="AM545" s="66"/>
      <c r="AN545"/>
      <c r="AO545"/>
      <c r="AP545"/>
      <c r="AQ545"/>
      <c r="AS545" s="66"/>
      <c r="AT545"/>
      <c r="AU545"/>
      <c r="AV545"/>
      <c r="AW545"/>
      <c r="BK545" s="66"/>
      <c r="BL545"/>
      <c r="BM545"/>
      <c r="BN545"/>
      <c r="BO545"/>
      <c r="BQ545" s="66"/>
      <c r="BR545"/>
      <c r="BS545"/>
      <c r="BT545"/>
      <c r="BU545"/>
    </row>
    <row r="546" spans="39:73" x14ac:dyDescent="0.25">
      <c r="AM546" s="66"/>
      <c r="AN546"/>
      <c r="AO546"/>
      <c r="AP546"/>
      <c r="AQ546"/>
      <c r="AS546" s="66"/>
      <c r="AT546"/>
      <c r="AU546"/>
      <c r="AV546"/>
      <c r="AW546"/>
      <c r="BK546" s="66"/>
      <c r="BL546"/>
      <c r="BM546"/>
      <c r="BN546"/>
      <c r="BO546"/>
      <c r="BQ546" s="66"/>
      <c r="BR546"/>
      <c r="BS546"/>
      <c r="BT546"/>
      <c r="BU546"/>
    </row>
    <row r="547" spans="39:73" x14ac:dyDescent="0.25">
      <c r="AM547" s="66"/>
      <c r="AN547"/>
      <c r="AO547"/>
      <c r="AP547"/>
      <c r="AQ547"/>
      <c r="AS547" s="66"/>
      <c r="AT547"/>
      <c r="AU547"/>
      <c r="AV547"/>
      <c r="AW547"/>
      <c r="BK547" s="66"/>
      <c r="BL547"/>
      <c r="BM547"/>
      <c r="BN547"/>
      <c r="BO547"/>
      <c r="BQ547" s="66"/>
      <c r="BR547"/>
      <c r="BS547"/>
      <c r="BT547"/>
      <c r="BU547"/>
    </row>
    <row r="548" spans="39:73" x14ac:dyDescent="0.25">
      <c r="AM548" s="66"/>
      <c r="AN548"/>
      <c r="AO548"/>
      <c r="AP548"/>
      <c r="AQ548"/>
      <c r="AS548" s="66"/>
      <c r="AT548"/>
      <c r="AU548"/>
      <c r="AV548"/>
      <c r="AW548"/>
      <c r="BK548" s="66"/>
      <c r="BL548"/>
      <c r="BM548"/>
      <c r="BN548"/>
      <c r="BO548"/>
      <c r="BQ548" s="66"/>
      <c r="BR548"/>
      <c r="BS548"/>
      <c r="BT548"/>
      <c r="BU548"/>
    </row>
    <row r="549" spans="39:73" x14ac:dyDescent="0.25">
      <c r="AM549" s="66"/>
      <c r="AN549"/>
      <c r="AO549"/>
      <c r="AP549"/>
      <c r="AQ549"/>
      <c r="AS549" s="66"/>
      <c r="AT549"/>
      <c r="AU549"/>
      <c r="AV549"/>
      <c r="AW549"/>
      <c r="BK549" s="66"/>
      <c r="BL549"/>
      <c r="BM549"/>
      <c r="BN549"/>
      <c r="BO549"/>
      <c r="BQ549" s="66"/>
      <c r="BR549"/>
      <c r="BS549"/>
      <c r="BT549"/>
      <c r="BU549"/>
    </row>
    <row r="550" spans="39:73" x14ac:dyDescent="0.25">
      <c r="AM550" s="66"/>
      <c r="AN550"/>
      <c r="AO550"/>
      <c r="AP550"/>
      <c r="AQ550"/>
      <c r="AS550" s="66"/>
      <c r="AT550"/>
      <c r="AU550"/>
      <c r="AV550"/>
      <c r="AW550"/>
      <c r="BK550" s="66"/>
      <c r="BL550"/>
      <c r="BM550"/>
      <c r="BN550"/>
      <c r="BO550"/>
      <c r="BQ550" s="66"/>
      <c r="BR550"/>
      <c r="BS550"/>
      <c r="BT550"/>
      <c r="BU550"/>
    </row>
    <row r="551" spans="39:73" x14ac:dyDescent="0.25">
      <c r="AM551" s="66"/>
      <c r="AN551"/>
      <c r="AO551"/>
      <c r="AP551"/>
      <c r="AQ551"/>
      <c r="AS551" s="66"/>
      <c r="AT551"/>
      <c r="AU551"/>
      <c r="AV551"/>
      <c r="AW551"/>
      <c r="BK551" s="66"/>
      <c r="BL551"/>
      <c r="BM551"/>
      <c r="BN551"/>
      <c r="BO551"/>
      <c r="BQ551" s="66"/>
      <c r="BR551"/>
      <c r="BS551"/>
      <c r="BT551"/>
      <c r="BU551"/>
    </row>
    <row r="552" spans="39:73" x14ac:dyDescent="0.25">
      <c r="AM552" s="66"/>
      <c r="AN552"/>
      <c r="AO552"/>
      <c r="AP552"/>
      <c r="AQ552"/>
      <c r="AS552" s="66"/>
      <c r="AT552"/>
      <c r="AU552"/>
      <c r="AV552"/>
      <c r="AW552"/>
      <c r="BK552" s="66"/>
      <c r="BL552"/>
      <c r="BM552"/>
      <c r="BN552"/>
      <c r="BO552"/>
      <c r="BQ552" s="66"/>
      <c r="BR552"/>
      <c r="BS552"/>
      <c r="BT552"/>
      <c r="BU552"/>
    </row>
    <row r="553" spans="39:73" x14ac:dyDescent="0.25">
      <c r="AM553" s="66"/>
      <c r="AN553"/>
      <c r="AO553"/>
      <c r="AP553"/>
      <c r="AQ553"/>
      <c r="AS553" s="66"/>
      <c r="AT553"/>
      <c r="AU553"/>
      <c r="AV553"/>
      <c r="AW553"/>
      <c r="BK553" s="66"/>
      <c r="BL553"/>
      <c r="BM553"/>
      <c r="BN553"/>
      <c r="BO553"/>
      <c r="BQ553" s="66"/>
      <c r="BR553"/>
      <c r="BS553"/>
      <c r="BT553"/>
      <c r="BU553"/>
    </row>
    <row r="554" spans="39:73" x14ac:dyDescent="0.25">
      <c r="AM554" s="66"/>
      <c r="AN554"/>
      <c r="AO554"/>
      <c r="AP554"/>
      <c r="AQ554"/>
      <c r="AS554" s="66"/>
      <c r="AT554"/>
      <c r="AU554"/>
      <c r="AV554"/>
      <c r="AW554"/>
      <c r="BK554" s="66"/>
      <c r="BL554"/>
      <c r="BM554"/>
      <c r="BN554"/>
      <c r="BO554"/>
      <c r="BQ554" s="66"/>
      <c r="BR554"/>
      <c r="BS554"/>
      <c r="BT554"/>
      <c r="BU554"/>
    </row>
    <row r="555" spans="39:73" x14ac:dyDescent="0.25">
      <c r="AM555" s="66"/>
      <c r="AN555"/>
      <c r="AO555"/>
      <c r="AP555"/>
      <c r="AQ555"/>
      <c r="AS555" s="66"/>
      <c r="AT555"/>
      <c r="AU555"/>
      <c r="AV555"/>
      <c r="AW555"/>
      <c r="BK555" s="66"/>
      <c r="BL555"/>
      <c r="BM555"/>
      <c r="BN555"/>
      <c r="BO555"/>
      <c r="BQ555" s="66"/>
      <c r="BR555"/>
      <c r="BS555"/>
      <c r="BT555"/>
      <c r="BU555"/>
    </row>
    <row r="556" spans="39:73" x14ac:dyDescent="0.25">
      <c r="AM556" s="66"/>
      <c r="AN556"/>
      <c r="AO556"/>
      <c r="AP556"/>
      <c r="AQ556"/>
      <c r="AS556" s="66"/>
      <c r="AT556"/>
      <c r="AU556"/>
      <c r="AV556"/>
      <c r="AW556"/>
      <c r="BK556" s="66"/>
      <c r="BL556"/>
      <c r="BM556"/>
      <c r="BN556"/>
      <c r="BO556"/>
      <c r="BQ556" s="66"/>
      <c r="BR556"/>
      <c r="BS556"/>
      <c r="BT556"/>
      <c r="BU556"/>
    </row>
    <row r="557" spans="39:73" x14ac:dyDescent="0.25">
      <c r="AM557" s="66"/>
      <c r="AN557"/>
      <c r="AO557"/>
      <c r="AP557"/>
      <c r="AQ557"/>
      <c r="AS557" s="66"/>
      <c r="AT557"/>
      <c r="AU557"/>
      <c r="AV557"/>
      <c r="AW557"/>
      <c r="BK557" s="66"/>
      <c r="BL557"/>
      <c r="BM557"/>
      <c r="BN557"/>
      <c r="BO557"/>
      <c r="BQ557" s="66"/>
      <c r="BR557"/>
      <c r="BS557"/>
      <c r="BT557"/>
      <c r="BU557"/>
    </row>
    <row r="558" spans="39:73" x14ac:dyDescent="0.25">
      <c r="AM558" s="66"/>
      <c r="AN558"/>
      <c r="AO558"/>
      <c r="AP558"/>
      <c r="AQ558"/>
      <c r="AS558" s="66"/>
      <c r="AT558"/>
      <c r="AU558"/>
      <c r="AV558"/>
      <c r="AW558"/>
      <c r="BK558" s="66"/>
      <c r="BL558"/>
      <c r="BM558"/>
      <c r="BN558"/>
      <c r="BO558"/>
      <c r="BQ558" s="66"/>
      <c r="BR558"/>
      <c r="BS558"/>
      <c r="BT558"/>
      <c r="BU558"/>
    </row>
    <row r="559" spans="39:73" x14ac:dyDescent="0.25">
      <c r="AM559" s="66"/>
      <c r="AN559"/>
      <c r="AO559"/>
      <c r="AP559"/>
      <c r="AQ559"/>
      <c r="AS559" s="66"/>
      <c r="AT559"/>
      <c r="AU559"/>
      <c r="AV559"/>
      <c r="AW559"/>
      <c r="BK559" s="66"/>
      <c r="BL559"/>
      <c r="BM559"/>
      <c r="BN559"/>
      <c r="BO559"/>
      <c r="BQ559" s="66"/>
      <c r="BR559"/>
      <c r="BS559"/>
      <c r="BT559"/>
      <c r="BU559"/>
    </row>
    <row r="560" spans="39:73" x14ac:dyDescent="0.25">
      <c r="AM560" s="66"/>
      <c r="AN560"/>
      <c r="AO560"/>
      <c r="AP560"/>
      <c r="AQ560"/>
      <c r="AS560" s="66"/>
      <c r="AT560"/>
      <c r="AU560"/>
      <c r="AV560"/>
      <c r="AW560"/>
      <c r="BK560" s="66"/>
      <c r="BL560"/>
      <c r="BM560"/>
      <c r="BN560"/>
      <c r="BO560"/>
      <c r="BQ560" s="66"/>
      <c r="BR560"/>
      <c r="BS560"/>
      <c r="BT560"/>
      <c r="BU560"/>
    </row>
    <row r="561" spans="39:73" x14ac:dyDescent="0.25">
      <c r="AM561" s="66"/>
      <c r="AN561"/>
      <c r="AO561"/>
      <c r="AP561"/>
      <c r="AQ561"/>
      <c r="AS561" s="66"/>
      <c r="AT561"/>
      <c r="AU561"/>
      <c r="AV561"/>
      <c r="AW561"/>
      <c r="BK561" s="66"/>
      <c r="BL561"/>
      <c r="BM561"/>
      <c r="BN561"/>
      <c r="BO561"/>
      <c r="BQ561" s="66"/>
      <c r="BR561"/>
      <c r="BS561"/>
      <c r="BT561"/>
      <c r="BU561"/>
    </row>
    <row r="562" spans="39:73" x14ac:dyDescent="0.25">
      <c r="AM562" s="66"/>
      <c r="AN562"/>
      <c r="AO562"/>
      <c r="AP562"/>
      <c r="AQ562"/>
      <c r="AS562" s="66"/>
      <c r="AT562"/>
      <c r="AU562"/>
      <c r="AV562"/>
      <c r="AW562"/>
      <c r="BK562" s="66"/>
      <c r="BL562"/>
      <c r="BM562"/>
      <c r="BN562"/>
      <c r="BO562"/>
      <c r="BQ562" s="66"/>
      <c r="BR562"/>
      <c r="BS562"/>
      <c r="BT562"/>
      <c r="BU562"/>
    </row>
    <row r="563" spans="39:73" x14ac:dyDescent="0.25">
      <c r="AM563" s="66"/>
      <c r="AN563"/>
      <c r="AO563"/>
      <c r="AP563"/>
      <c r="AQ563"/>
      <c r="AS563" s="66"/>
      <c r="AT563"/>
      <c r="AU563"/>
      <c r="AV563"/>
      <c r="AW563"/>
      <c r="BK563" s="66"/>
      <c r="BL563"/>
      <c r="BM563"/>
      <c r="BN563"/>
      <c r="BO563"/>
      <c r="BQ563" s="66"/>
      <c r="BR563"/>
      <c r="BS563"/>
      <c r="BT563"/>
      <c r="BU563"/>
    </row>
    <row r="564" spans="39:73" x14ac:dyDescent="0.25">
      <c r="AM564" s="66"/>
      <c r="AN564"/>
      <c r="AO564"/>
      <c r="AP564"/>
      <c r="AQ564"/>
      <c r="AS564" s="66"/>
      <c r="AT564"/>
      <c r="AU564"/>
      <c r="AV564"/>
      <c r="AW564"/>
      <c r="BK564" s="66"/>
      <c r="BL564"/>
      <c r="BM564"/>
      <c r="BN564"/>
      <c r="BO564"/>
      <c r="BQ564" s="66"/>
      <c r="BR564"/>
      <c r="BS564"/>
      <c r="BT564"/>
      <c r="BU564"/>
    </row>
    <row r="565" spans="39:73" x14ac:dyDescent="0.25">
      <c r="AM565" s="66"/>
      <c r="AN565"/>
      <c r="AO565"/>
      <c r="AP565"/>
      <c r="AQ565"/>
      <c r="AS565" s="66"/>
      <c r="AT565"/>
      <c r="AU565"/>
      <c r="AV565"/>
      <c r="AW565"/>
      <c r="BK565" s="66"/>
      <c r="BL565"/>
      <c r="BM565"/>
      <c r="BN565"/>
      <c r="BO565"/>
      <c r="BQ565" s="66"/>
      <c r="BR565"/>
      <c r="BS565"/>
      <c r="BT565"/>
      <c r="BU565"/>
    </row>
    <row r="566" spans="39:73" x14ac:dyDescent="0.25">
      <c r="AM566" s="66"/>
      <c r="AN566"/>
      <c r="AO566"/>
      <c r="AP566"/>
      <c r="AQ566"/>
      <c r="AS566" s="66"/>
      <c r="AT566"/>
      <c r="AU566"/>
      <c r="AV566"/>
      <c r="AW566"/>
      <c r="BK566" s="66"/>
      <c r="BL566"/>
      <c r="BM566"/>
      <c r="BN566"/>
      <c r="BO566"/>
      <c r="BQ566" s="66"/>
      <c r="BR566"/>
      <c r="BS566"/>
      <c r="BT566"/>
      <c r="BU566"/>
    </row>
    <row r="567" spans="39:73" x14ac:dyDescent="0.25">
      <c r="AM567" s="66"/>
      <c r="AN567"/>
      <c r="AO567"/>
      <c r="AP567"/>
      <c r="AQ567"/>
      <c r="AS567" s="66"/>
      <c r="AT567"/>
      <c r="AU567"/>
      <c r="AV567"/>
      <c r="AW567"/>
      <c r="BK567" s="66"/>
      <c r="BL567"/>
      <c r="BM567"/>
      <c r="BN567"/>
      <c r="BO567"/>
      <c r="BQ567" s="66"/>
      <c r="BR567"/>
      <c r="BS567"/>
      <c r="BT567"/>
      <c r="BU567"/>
    </row>
    <row r="568" spans="39:73" x14ac:dyDescent="0.25">
      <c r="AM568" s="66"/>
      <c r="AN568"/>
      <c r="AO568"/>
      <c r="AP568"/>
      <c r="AQ568"/>
      <c r="AS568" s="66"/>
      <c r="AT568"/>
      <c r="AU568"/>
      <c r="AV568"/>
      <c r="AW568"/>
      <c r="BK568" s="66"/>
      <c r="BL568"/>
      <c r="BM568"/>
      <c r="BN568"/>
      <c r="BO568"/>
      <c r="BQ568" s="66"/>
      <c r="BR568"/>
      <c r="BS568"/>
      <c r="BT568"/>
      <c r="BU568"/>
    </row>
    <row r="569" spans="39:73" x14ac:dyDescent="0.25">
      <c r="AM569" s="66"/>
      <c r="AN569"/>
      <c r="AO569"/>
      <c r="AP569"/>
      <c r="AQ569"/>
      <c r="AS569" s="66"/>
      <c r="AT569"/>
      <c r="AU569"/>
      <c r="AV569"/>
      <c r="AW569"/>
      <c r="BK569" s="66"/>
      <c r="BL569"/>
      <c r="BM569"/>
      <c r="BN569"/>
      <c r="BO569"/>
      <c r="BQ569" s="66"/>
      <c r="BR569"/>
      <c r="BS569"/>
      <c r="BT569"/>
      <c r="BU569"/>
    </row>
    <row r="570" spans="39:73" x14ac:dyDescent="0.25">
      <c r="AM570" s="66"/>
      <c r="AN570"/>
      <c r="AO570"/>
      <c r="AP570"/>
      <c r="AQ570"/>
      <c r="AS570" s="66"/>
      <c r="AT570"/>
      <c r="AU570"/>
      <c r="AV570"/>
      <c r="AW570"/>
      <c r="BK570" s="66"/>
      <c r="BL570"/>
      <c r="BM570"/>
      <c r="BN570"/>
      <c r="BO570"/>
      <c r="BQ570" s="66"/>
      <c r="BR570"/>
      <c r="BS570"/>
      <c r="BT570"/>
      <c r="BU570"/>
    </row>
    <row r="571" spans="39:73" x14ac:dyDescent="0.25">
      <c r="AM571" s="66"/>
      <c r="AN571"/>
      <c r="AO571"/>
      <c r="AP571"/>
      <c r="AQ571"/>
      <c r="AS571" s="66"/>
      <c r="AT571"/>
      <c r="AU571"/>
      <c r="AV571"/>
      <c r="AW571"/>
      <c r="BK571" s="66"/>
      <c r="BL571"/>
      <c r="BM571"/>
      <c r="BN571"/>
      <c r="BO571"/>
      <c r="BQ571" s="66"/>
      <c r="BR571"/>
      <c r="BS571"/>
      <c r="BT571"/>
      <c r="BU571"/>
    </row>
    <row r="572" spans="39:73" x14ac:dyDescent="0.25">
      <c r="AM572" s="66"/>
      <c r="AN572"/>
      <c r="AO572"/>
      <c r="AP572"/>
      <c r="AQ572"/>
      <c r="AS572" s="66"/>
      <c r="AT572"/>
      <c r="AU572"/>
      <c r="AV572"/>
      <c r="AW572"/>
      <c r="BK572" s="66"/>
      <c r="BL572"/>
      <c r="BM572"/>
      <c r="BN572"/>
      <c r="BO572"/>
      <c r="BQ572" s="66"/>
      <c r="BR572"/>
      <c r="BS572"/>
      <c r="BT572"/>
      <c r="BU572"/>
    </row>
    <row r="573" spans="39:73" x14ac:dyDescent="0.25">
      <c r="AM573" s="66"/>
      <c r="AN573"/>
      <c r="AO573"/>
      <c r="AP573"/>
      <c r="AQ573"/>
      <c r="AS573" s="66"/>
      <c r="AT573"/>
      <c r="AU573"/>
      <c r="AV573"/>
      <c r="AW573"/>
      <c r="BK573" s="66"/>
      <c r="BL573"/>
      <c r="BM573"/>
      <c r="BN573"/>
      <c r="BO573"/>
      <c r="BQ573" s="66"/>
      <c r="BR573"/>
      <c r="BS573"/>
      <c r="BT573"/>
      <c r="BU573"/>
    </row>
    <row r="574" spans="39:73" x14ac:dyDescent="0.25">
      <c r="AM574" s="66"/>
      <c r="AN574"/>
      <c r="AO574"/>
      <c r="AP574"/>
      <c r="AQ574"/>
      <c r="AS574" s="66"/>
      <c r="AT574"/>
      <c r="AU574"/>
      <c r="AV574"/>
      <c r="AW574"/>
      <c r="BK574" s="66"/>
      <c r="BL574"/>
      <c r="BM574"/>
      <c r="BN574"/>
      <c r="BO574"/>
      <c r="BQ574" s="66"/>
      <c r="BR574"/>
      <c r="BS574"/>
      <c r="BT574"/>
      <c r="BU574"/>
    </row>
    <row r="575" spans="39:73" x14ac:dyDescent="0.25">
      <c r="AM575" s="66"/>
      <c r="AN575"/>
      <c r="AO575"/>
      <c r="AP575"/>
      <c r="AQ575"/>
      <c r="AS575" s="66"/>
      <c r="AT575"/>
      <c r="AU575"/>
      <c r="AV575"/>
      <c r="AW575"/>
      <c r="BK575" s="66"/>
      <c r="BL575"/>
      <c r="BM575"/>
      <c r="BN575"/>
      <c r="BO575"/>
      <c r="BQ575" s="66"/>
      <c r="BR575"/>
      <c r="BS575"/>
      <c r="BT575"/>
      <c r="BU575"/>
    </row>
    <row r="576" spans="39:73" x14ac:dyDescent="0.25">
      <c r="AM576" s="66"/>
      <c r="AN576"/>
      <c r="AO576"/>
      <c r="AP576"/>
      <c r="AQ576"/>
      <c r="AS576" s="66"/>
      <c r="AT576"/>
      <c r="AU576"/>
      <c r="AV576"/>
      <c r="AW576"/>
      <c r="BK576" s="66"/>
      <c r="BL576"/>
      <c r="BM576"/>
      <c r="BN576"/>
      <c r="BO576"/>
      <c r="BQ576" s="66"/>
      <c r="BR576"/>
      <c r="BS576"/>
      <c r="BT576"/>
      <c r="BU576"/>
    </row>
    <row r="577" spans="39:73" x14ac:dyDescent="0.25">
      <c r="AM577" s="66"/>
      <c r="AN577"/>
      <c r="AO577"/>
      <c r="AP577"/>
      <c r="AQ577"/>
      <c r="AS577" s="66"/>
      <c r="AT577"/>
      <c r="AU577"/>
      <c r="AV577"/>
      <c r="AW577"/>
      <c r="BK577" s="66"/>
      <c r="BL577"/>
      <c r="BM577"/>
      <c r="BN577"/>
      <c r="BO577"/>
      <c r="BQ577" s="66"/>
      <c r="BR577"/>
      <c r="BS577"/>
      <c r="BT577"/>
      <c r="BU577"/>
    </row>
    <row r="578" spans="39:73" x14ac:dyDescent="0.25">
      <c r="AM578" s="66"/>
      <c r="AN578"/>
      <c r="AO578"/>
      <c r="AP578"/>
      <c r="AQ578"/>
      <c r="AS578" s="66"/>
      <c r="AT578"/>
      <c r="AU578"/>
      <c r="AV578"/>
      <c r="AW578"/>
      <c r="BK578" s="66"/>
      <c r="BL578"/>
      <c r="BM578"/>
      <c r="BN578"/>
      <c r="BO578"/>
      <c r="BQ578" s="66"/>
      <c r="BR578"/>
      <c r="BS578"/>
      <c r="BT578"/>
      <c r="BU578"/>
    </row>
    <row r="579" spans="39:73" x14ac:dyDescent="0.25">
      <c r="AM579" s="66"/>
      <c r="AN579"/>
      <c r="AO579"/>
      <c r="AP579"/>
      <c r="AQ579"/>
      <c r="AS579" s="66"/>
      <c r="AT579"/>
      <c r="AU579"/>
      <c r="AV579"/>
      <c r="AW579"/>
      <c r="BK579" s="66"/>
      <c r="BL579"/>
      <c r="BM579"/>
      <c r="BN579"/>
      <c r="BO579"/>
      <c r="BQ579" s="66"/>
      <c r="BR579"/>
      <c r="BS579"/>
      <c r="BT579"/>
      <c r="BU579"/>
    </row>
    <row r="580" spans="39:73" x14ac:dyDescent="0.25">
      <c r="AM580" s="66"/>
      <c r="AN580"/>
      <c r="AO580"/>
      <c r="AP580"/>
      <c r="AQ580"/>
      <c r="AS580" s="66"/>
      <c r="AT580"/>
      <c r="AU580"/>
      <c r="AV580"/>
      <c r="AW580"/>
      <c r="BK580" s="66"/>
      <c r="BL580"/>
      <c r="BM580"/>
      <c r="BN580"/>
      <c r="BO580"/>
      <c r="BQ580" s="66"/>
      <c r="BR580"/>
      <c r="BS580"/>
      <c r="BT580"/>
      <c r="BU580"/>
    </row>
    <row r="581" spans="39:73" x14ac:dyDescent="0.25">
      <c r="AM581" s="66"/>
      <c r="AN581"/>
      <c r="AO581"/>
      <c r="AP581"/>
      <c r="AQ581"/>
      <c r="AS581" s="66"/>
      <c r="AT581"/>
      <c r="AU581"/>
      <c r="AV581"/>
      <c r="AW581"/>
      <c r="BK581" s="66"/>
      <c r="BL581"/>
      <c r="BM581"/>
      <c r="BN581"/>
      <c r="BO581"/>
      <c r="BQ581" s="66"/>
      <c r="BR581"/>
      <c r="BS581"/>
      <c r="BT581"/>
      <c r="BU581"/>
    </row>
    <row r="582" spans="39:73" x14ac:dyDescent="0.25">
      <c r="AM582" s="66"/>
      <c r="AN582"/>
      <c r="AO582"/>
      <c r="AP582"/>
      <c r="AQ582"/>
      <c r="AS582" s="66"/>
      <c r="AT582"/>
      <c r="AU582"/>
      <c r="AV582"/>
      <c r="AW582"/>
      <c r="BK582" s="66"/>
      <c r="BL582"/>
      <c r="BM582"/>
      <c r="BN582"/>
      <c r="BO582"/>
      <c r="BQ582" s="66"/>
      <c r="BR582"/>
      <c r="BS582"/>
      <c r="BT582"/>
      <c r="BU582"/>
    </row>
    <row r="583" spans="39:73" x14ac:dyDescent="0.25">
      <c r="AM583" s="66"/>
      <c r="AN583"/>
      <c r="AO583"/>
      <c r="AP583"/>
      <c r="AQ583"/>
      <c r="AS583" s="66"/>
      <c r="AT583"/>
      <c r="AU583"/>
      <c r="AV583"/>
      <c r="AW583"/>
      <c r="BK583" s="66"/>
      <c r="BL583"/>
      <c r="BM583"/>
      <c r="BN583"/>
      <c r="BO583"/>
      <c r="BQ583" s="66"/>
      <c r="BR583"/>
      <c r="BS583"/>
      <c r="BT583"/>
      <c r="BU583"/>
    </row>
    <row r="584" spans="39:73" x14ac:dyDescent="0.25">
      <c r="AM584" s="66"/>
      <c r="AN584"/>
      <c r="AO584"/>
      <c r="AP584"/>
      <c r="AQ584"/>
      <c r="AS584" s="66"/>
      <c r="AT584"/>
      <c r="AU584"/>
      <c r="AV584"/>
      <c r="AW584"/>
      <c r="BK584" s="66"/>
      <c r="BL584"/>
      <c r="BM584"/>
      <c r="BN584"/>
      <c r="BO584"/>
      <c r="BQ584" s="66"/>
      <c r="BR584"/>
      <c r="BS584"/>
      <c r="BT584"/>
      <c r="BU584"/>
    </row>
    <row r="585" spans="39:73" x14ac:dyDescent="0.25">
      <c r="AM585" s="66"/>
      <c r="AN585"/>
      <c r="AO585"/>
      <c r="AP585"/>
      <c r="AQ585"/>
      <c r="AS585" s="66"/>
      <c r="AT585"/>
      <c r="AU585"/>
      <c r="AV585"/>
      <c r="AW585"/>
      <c r="BK585" s="66"/>
      <c r="BL585"/>
      <c r="BM585"/>
      <c r="BN585"/>
      <c r="BO585"/>
      <c r="BQ585" s="66"/>
      <c r="BR585"/>
      <c r="BS585"/>
      <c r="BT585"/>
      <c r="BU585"/>
    </row>
    <row r="586" spans="39:73" x14ac:dyDescent="0.25">
      <c r="AM586" s="66"/>
      <c r="AN586"/>
      <c r="AO586"/>
      <c r="AP586"/>
      <c r="AQ586"/>
      <c r="AS586" s="66"/>
      <c r="AT586"/>
      <c r="AU586"/>
      <c r="AV586"/>
      <c r="AW586"/>
      <c r="BK586" s="66"/>
      <c r="BL586"/>
      <c r="BM586"/>
      <c r="BN586"/>
      <c r="BO586"/>
      <c r="BQ586" s="66"/>
      <c r="BR586"/>
      <c r="BS586"/>
      <c r="BT586"/>
      <c r="BU586"/>
    </row>
    <row r="587" spans="39:73" x14ac:dyDescent="0.25">
      <c r="AM587" s="66"/>
      <c r="AN587"/>
      <c r="AO587"/>
      <c r="AP587"/>
      <c r="AQ587"/>
      <c r="AS587" s="66"/>
      <c r="AT587"/>
      <c r="AU587"/>
      <c r="AV587"/>
      <c r="AW587"/>
      <c r="BK587" s="66"/>
      <c r="BL587"/>
      <c r="BM587"/>
      <c r="BN587"/>
      <c r="BO587"/>
      <c r="BQ587" s="66"/>
      <c r="BR587"/>
      <c r="BS587"/>
      <c r="BT587"/>
      <c r="BU587"/>
    </row>
    <row r="588" spans="39:73" x14ac:dyDescent="0.25">
      <c r="AM588" s="66"/>
      <c r="AN588"/>
      <c r="AO588"/>
      <c r="AP588"/>
      <c r="AQ588"/>
      <c r="AS588" s="66"/>
      <c r="AT588"/>
      <c r="AU588"/>
      <c r="AV588"/>
      <c r="AW588"/>
      <c r="BK588" s="66"/>
      <c r="BL588"/>
      <c r="BM588"/>
      <c r="BN588"/>
      <c r="BO588"/>
      <c r="BQ588" s="66"/>
      <c r="BR588"/>
      <c r="BS588"/>
      <c r="BT588"/>
      <c r="BU588"/>
    </row>
    <row r="589" spans="39:73" x14ac:dyDescent="0.25">
      <c r="AM589" s="66"/>
      <c r="AN589"/>
      <c r="AO589"/>
      <c r="AP589"/>
      <c r="AQ589"/>
      <c r="AS589" s="66"/>
      <c r="AT589"/>
      <c r="AU589"/>
      <c r="AV589"/>
      <c r="AW589"/>
      <c r="BK589" s="66"/>
      <c r="BL589"/>
      <c r="BM589"/>
      <c r="BN589"/>
      <c r="BO589"/>
      <c r="BQ589" s="66"/>
      <c r="BR589"/>
      <c r="BS589"/>
      <c r="BT589"/>
      <c r="BU589"/>
    </row>
    <row r="590" spans="39:73" x14ac:dyDescent="0.25">
      <c r="AM590" s="66"/>
      <c r="AN590"/>
      <c r="AO590"/>
      <c r="AP590"/>
      <c r="AQ590"/>
      <c r="AS590" s="66"/>
      <c r="AT590"/>
      <c r="AU590"/>
      <c r="AV590"/>
      <c r="AW590"/>
      <c r="BK590" s="66"/>
      <c r="BL590"/>
      <c r="BM590"/>
      <c r="BN590"/>
      <c r="BO590"/>
      <c r="BQ590" s="66"/>
      <c r="BR590"/>
      <c r="BS590"/>
      <c r="BT590"/>
      <c r="BU590"/>
    </row>
    <row r="591" spans="39:73" x14ac:dyDescent="0.25">
      <c r="AM591" s="66"/>
      <c r="AN591"/>
      <c r="AO591"/>
      <c r="AP591"/>
      <c r="AQ591"/>
      <c r="AS591" s="66"/>
      <c r="AT591"/>
      <c r="AU591"/>
      <c r="AV591"/>
      <c r="AW591"/>
      <c r="BK591" s="66"/>
      <c r="BL591"/>
      <c r="BM591"/>
      <c r="BN591"/>
      <c r="BO591"/>
      <c r="BQ591" s="66"/>
      <c r="BR591"/>
      <c r="BS591"/>
      <c r="BT591"/>
      <c r="BU591"/>
    </row>
    <row r="592" spans="39:73" x14ac:dyDescent="0.25">
      <c r="AM592" s="66"/>
      <c r="AN592"/>
      <c r="AO592"/>
      <c r="AP592"/>
      <c r="AQ592"/>
      <c r="AS592" s="66"/>
      <c r="AT592"/>
      <c r="AU592"/>
      <c r="AV592"/>
      <c r="AW592"/>
      <c r="BK592" s="66"/>
      <c r="BL592"/>
      <c r="BM592"/>
      <c r="BN592"/>
      <c r="BO592"/>
      <c r="BQ592" s="66"/>
      <c r="BR592"/>
      <c r="BS592"/>
      <c r="BT592"/>
      <c r="BU592"/>
    </row>
    <row r="593" spans="39:73" x14ac:dyDescent="0.25">
      <c r="AM593" s="66"/>
      <c r="AN593"/>
      <c r="AO593"/>
      <c r="AP593"/>
      <c r="AQ593"/>
      <c r="AS593" s="66"/>
      <c r="AT593"/>
      <c r="AU593"/>
      <c r="AV593"/>
      <c r="AW593"/>
      <c r="BK593" s="66"/>
      <c r="BL593"/>
      <c r="BM593"/>
      <c r="BN593"/>
      <c r="BO593"/>
      <c r="BQ593" s="66"/>
      <c r="BR593"/>
      <c r="BS593"/>
      <c r="BT593"/>
      <c r="BU593"/>
    </row>
    <row r="594" spans="39:73" x14ac:dyDescent="0.25">
      <c r="AM594" s="66"/>
      <c r="AN594"/>
      <c r="AO594"/>
      <c r="AP594"/>
      <c r="AQ594"/>
      <c r="AS594" s="66"/>
      <c r="AT594"/>
      <c r="AU594"/>
      <c r="AV594"/>
      <c r="AW594"/>
      <c r="BK594" s="66"/>
      <c r="BL594"/>
      <c r="BM594"/>
      <c r="BN594"/>
      <c r="BO594"/>
      <c r="BQ594" s="66"/>
      <c r="BR594"/>
      <c r="BS594"/>
      <c r="BT594"/>
      <c r="BU594"/>
    </row>
    <row r="595" spans="39:73" x14ac:dyDescent="0.25">
      <c r="AM595" s="66"/>
      <c r="AN595"/>
      <c r="AO595"/>
      <c r="AP595"/>
      <c r="AQ595"/>
      <c r="AS595" s="66"/>
      <c r="AT595"/>
      <c r="AU595"/>
      <c r="AV595"/>
      <c r="AW595"/>
      <c r="BK595" s="66"/>
      <c r="BL595"/>
      <c r="BM595"/>
      <c r="BN595"/>
      <c r="BO595"/>
      <c r="BQ595" s="66"/>
      <c r="BR595"/>
      <c r="BS595"/>
      <c r="BT595"/>
      <c r="BU595"/>
    </row>
    <row r="596" spans="39:73" x14ac:dyDescent="0.25">
      <c r="AM596" s="66"/>
      <c r="AN596"/>
      <c r="AO596"/>
      <c r="AP596"/>
      <c r="AQ596"/>
      <c r="AS596" s="66"/>
      <c r="AT596"/>
      <c r="AU596"/>
      <c r="AV596"/>
      <c r="AW596"/>
      <c r="BK596" s="66"/>
      <c r="BL596"/>
      <c r="BM596"/>
      <c r="BN596"/>
      <c r="BO596"/>
      <c r="BQ596" s="66"/>
      <c r="BR596"/>
      <c r="BS596"/>
      <c r="BT596"/>
      <c r="BU596"/>
    </row>
    <row r="597" spans="39:73" x14ac:dyDescent="0.25">
      <c r="AM597" s="66"/>
      <c r="AN597"/>
      <c r="AO597"/>
      <c r="AP597"/>
      <c r="AQ597"/>
      <c r="AS597" s="66"/>
      <c r="AT597"/>
      <c r="AU597"/>
      <c r="AV597"/>
      <c r="AW597"/>
      <c r="BK597" s="66"/>
      <c r="BL597"/>
      <c r="BM597"/>
      <c r="BN597"/>
      <c r="BO597"/>
      <c r="BQ597" s="66"/>
      <c r="BR597"/>
      <c r="BS597"/>
      <c r="BT597"/>
      <c r="BU597"/>
    </row>
    <row r="598" spans="39:73" x14ac:dyDescent="0.25">
      <c r="AM598" s="66"/>
      <c r="AN598"/>
      <c r="AO598"/>
      <c r="AP598"/>
      <c r="AQ598"/>
      <c r="AS598" s="66"/>
      <c r="AT598"/>
      <c r="AU598"/>
      <c r="AV598"/>
      <c r="AW598"/>
      <c r="BK598" s="66"/>
      <c r="BL598"/>
      <c r="BM598"/>
      <c r="BN598"/>
      <c r="BO598"/>
      <c r="BQ598" s="66"/>
      <c r="BR598"/>
      <c r="BS598"/>
      <c r="BT598"/>
      <c r="BU598"/>
    </row>
    <row r="599" spans="39:73" x14ac:dyDescent="0.25">
      <c r="AM599" s="66"/>
      <c r="AN599"/>
      <c r="AO599"/>
      <c r="AP599"/>
      <c r="AQ599"/>
      <c r="AS599" s="66"/>
      <c r="AT599"/>
      <c r="AU599"/>
      <c r="AV599"/>
      <c r="AW599"/>
      <c r="BK599" s="66"/>
      <c r="BL599"/>
      <c r="BM599"/>
      <c r="BN599"/>
      <c r="BO599"/>
      <c r="BQ599" s="66"/>
      <c r="BR599"/>
      <c r="BS599"/>
      <c r="BT599"/>
      <c r="BU599"/>
    </row>
    <row r="600" spans="39:73" x14ac:dyDescent="0.25">
      <c r="AM600" s="66"/>
      <c r="AN600"/>
      <c r="AO600"/>
      <c r="AP600"/>
      <c r="AQ600"/>
      <c r="AS600" s="66"/>
      <c r="AT600"/>
      <c r="AU600"/>
      <c r="AV600"/>
      <c r="AW600"/>
      <c r="BK600" s="66"/>
      <c r="BL600"/>
      <c r="BM600"/>
      <c r="BN600"/>
      <c r="BO600"/>
      <c r="BQ600" s="66"/>
      <c r="BR600"/>
      <c r="BS600"/>
      <c r="BT600"/>
      <c r="BU600"/>
    </row>
    <row r="601" spans="39:73" x14ac:dyDescent="0.25">
      <c r="AM601" s="66"/>
      <c r="AN601"/>
      <c r="AO601"/>
      <c r="AP601"/>
      <c r="AQ601"/>
      <c r="AS601" s="66"/>
      <c r="AT601"/>
      <c r="AU601"/>
      <c r="AV601"/>
      <c r="AW601"/>
      <c r="BK601" s="66"/>
      <c r="BL601"/>
      <c r="BM601"/>
      <c r="BN601"/>
      <c r="BO601"/>
      <c r="BQ601" s="66"/>
      <c r="BR601"/>
      <c r="BS601"/>
      <c r="BT601"/>
      <c r="BU601"/>
    </row>
    <row r="602" spans="39:73" x14ac:dyDescent="0.25">
      <c r="AM602" s="66"/>
      <c r="AN602"/>
      <c r="AO602"/>
      <c r="AP602"/>
      <c r="AQ602"/>
      <c r="AS602" s="66"/>
      <c r="AT602"/>
      <c r="AU602"/>
      <c r="AV602"/>
      <c r="AW602"/>
      <c r="BK602" s="66"/>
      <c r="BL602"/>
      <c r="BM602"/>
      <c r="BN602"/>
      <c r="BO602"/>
      <c r="BQ602" s="66"/>
      <c r="BR602"/>
      <c r="BS602"/>
      <c r="BT602"/>
      <c r="BU602"/>
    </row>
    <row r="603" spans="39:73" x14ac:dyDescent="0.25">
      <c r="AM603" s="66"/>
      <c r="AN603"/>
      <c r="AO603"/>
      <c r="AP603"/>
      <c r="AQ603"/>
      <c r="AS603" s="66"/>
      <c r="AT603"/>
      <c r="AU603"/>
      <c r="AV603"/>
      <c r="AW603"/>
      <c r="BK603" s="66"/>
      <c r="BL603"/>
      <c r="BM603"/>
      <c r="BN603"/>
      <c r="BO603"/>
      <c r="BQ603" s="66"/>
      <c r="BR603"/>
      <c r="BS603"/>
      <c r="BT603"/>
      <c r="BU603"/>
    </row>
    <row r="604" spans="39:73" x14ac:dyDescent="0.25">
      <c r="AM604" s="66"/>
      <c r="AN604"/>
      <c r="AO604"/>
      <c r="AP604"/>
      <c r="AQ604"/>
      <c r="AS604" s="66"/>
      <c r="AT604"/>
      <c r="AU604"/>
      <c r="AV604"/>
      <c r="AW604"/>
      <c r="BK604" s="66"/>
      <c r="BL604"/>
      <c r="BM604"/>
      <c r="BN604"/>
      <c r="BO604"/>
      <c r="BQ604" s="66"/>
      <c r="BR604"/>
      <c r="BS604"/>
      <c r="BT604"/>
      <c r="BU604"/>
    </row>
    <row r="605" spans="39:73" x14ac:dyDescent="0.25">
      <c r="AM605" s="66"/>
      <c r="AN605"/>
      <c r="AO605"/>
      <c r="AP605"/>
      <c r="AQ605"/>
      <c r="AS605" s="66"/>
      <c r="AT605"/>
      <c r="AU605"/>
      <c r="AV605"/>
      <c r="AW605"/>
      <c r="BK605" s="66"/>
      <c r="BL605"/>
      <c r="BM605"/>
      <c r="BN605"/>
      <c r="BO605"/>
      <c r="BQ605" s="66"/>
      <c r="BR605"/>
      <c r="BS605"/>
      <c r="BT605"/>
      <c r="BU605"/>
    </row>
    <row r="606" spans="39:73" x14ac:dyDescent="0.25">
      <c r="AM606" s="66"/>
      <c r="AN606"/>
      <c r="AO606"/>
      <c r="AP606"/>
      <c r="AQ606"/>
      <c r="AS606" s="66"/>
      <c r="AT606"/>
      <c r="AU606"/>
      <c r="AV606"/>
      <c r="AW606"/>
      <c r="BK606" s="66"/>
      <c r="BL606"/>
      <c r="BM606"/>
      <c r="BN606"/>
      <c r="BO606"/>
      <c r="BQ606" s="66"/>
      <c r="BR606"/>
      <c r="BS606"/>
      <c r="BT606"/>
      <c r="BU606"/>
    </row>
    <row r="607" spans="39:73" x14ac:dyDescent="0.25">
      <c r="AM607" s="66"/>
      <c r="AN607"/>
      <c r="AO607"/>
      <c r="AP607"/>
      <c r="AQ607"/>
      <c r="AS607" s="66"/>
      <c r="AT607"/>
      <c r="AU607"/>
      <c r="AV607"/>
      <c r="AW607"/>
      <c r="BK607" s="66"/>
      <c r="BL607"/>
      <c r="BM607"/>
      <c r="BN607"/>
      <c r="BO607"/>
      <c r="BQ607" s="66"/>
      <c r="BR607"/>
      <c r="BS607"/>
      <c r="BT607"/>
      <c r="BU607"/>
    </row>
    <row r="608" spans="39:73" x14ac:dyDescent="0.25">
      <c r="AM608" s="66"/>
      <c r="AN608"/>
      <c r="AO608"/>
      <c r="AP608"/>
      <c r="AQ608"/>
      <c r="AS608" s="66"/>
      <c r="AT608"/>
      <c r="AU608"/>
      <c r="AV608"/>
      <c r="AW608"/>
      <c r="BK608" s="66"/>
      <c r="BL608"/>
      <c r="BM608"/>
      <c r="BN608"/>
      <c r="BO608"/>
      <c r="BQ608" s="66"/>
      <c r="BR608"/>
      <c r="BS608"/>
      <c r="BT608"/>
      <c r="BU608"/>
    </row>
    <row r="609" spans="39:73" x14ac:dyDescent="0.25">
      <c r="AM609" s="66"/>
      <c r="AN609"/>
      <c r="AO609"/>
      <c r="AP609"/>
      <c r="AQ609"/>
      <c r="AS609" s="66"/>
      <c r="AT609"/>
      <c r="AU609"/>
      <c r="AV609"/>
      <c r="AW609"/>
      <c r="BK609" s="66"/>
      <c r="BL609"/>
      <c r="BM609"/>
      <c r="BN609"/>
      <c r="BO609"/>
      <c r="BQ609" s="66"/>
      <c r="BR609"/>
      <c r="BS609"/>
      <c r="BT609"/>
      <c r="BU609"/>
    </row>
    <row r="610" spans="39:73" x14ac:dyDescent="0.25">
      <c r="AM610" s="66"/>
      <c r="AN610"/>
      <c r="AO610"/>
      <c r="AP610"/>
      <c r="AQ610"/>
      <c r="AS610" s="66"/>
      <c r="AT610"/>
      <c r="AU610"/>
      <c r="AV610"/>
      <c r="AW610"/>
      <c r="BK610" s="66"/>
      <c r="BL610"/>
      <c r="BM610"/>
      <c r="BN610"/>
      <c r="BO610"/>
      <c r="BQ610" s="66"/>
      <c r="BR610"/>
      <c r="BS610"/>
      <c r="BT610"/>
      <c r="BU610"/>
    </row>
    <row r="611" spans="39:73" x14ac:dyDescent="0.25">
      <c r="AM611" s="66"/>
      <c r="AN611"/>
      <c r="AO611"/>
      <c r="AP611"/>
      <c r="AQ611"/>
      <c r="AS611" s="66"/>
      <c r="AT611"/>
      <c r="AU611"/>
      <c r="AV611"/>
      <c r="AW611"/>
      <c r="BK611" s="66"/>
      <c r="BL611"/>
      <c r="BM611"/>
      <c r="BN611"/>
      <c r="BO611"/>
      <c r="BQ611" s="66"/>
      <c r="BR611"/>
      <c r="BS611"/>
      <c r="BT611"/>
      <c r="BU611"/>
    </row>
    <row r="612" spans="39:73" x14ac:dyDescent="0.25">
      <c r="AM612" s="66"/>
      <c r="AN612"/>
      <c r="AO612"/>
      <c r="AP612"/>
      <c r="AQ612"/>
      <c r="AS612" s="66"/>
      <c r="AT612"/>
      <c r="AU612"/>
      <c r="AV612"/>
      <c r="AW612"/>
      <c r="BK612" s="66"/>
      <c r="BL612"/>
      <c r="BM612"/>
      <c r="BN612"/>
      <c r="BO612"/>
      <c r="BQ612" s="66"/>
      <c r="BR612"/>
      <c r="BS612"/>
      <c r="BT612"/>
      <c r="BU612"/>
    </row>
    <row r="613" spans="39:73" x14ac:dyDescent="0.25">
      <c r="AM613" s="66"/>
      <c r="AN613"/>
      <c r="AO613"/>
      <c r="AP613"/>
      <c r="AQ613"/>
      <c r="AS613" s="66"/>
      <c r="AT613"/>
      <c r="AU613"/>
      <c r="AV613"/>
      <c r="AW613"/>
      <c r="BK613" s="66"/>
      <c r="BL613"/>
      <c r="BM613"/>
      <c r="BN613"/>
      <c r="BO613"/>
      <c r="BQ613" s="66"/>
      <c r="BR613"/>
      <c r="BS613"/>
      <c r="BT613"/>
      <c r="BU613"/>
    </row>
    <row r="614" spans="39:73" x14ac:dyDescent="0.25">
      <c r="AM614" s="66"/>
      <c r="AN614"/>
      <c r="AO614"/>
      <c r="AP614"/>
      <c r="AQ614"/>
      <c r="AS614" s="66"/>
      <c r="AT614"/>
      <c r="AU614"/>
      <c r="AV614"/>
      <c r="AW614"/>
      <c r="BK614" s="66"/>
      <c r="BL614"/>
      <c r="BM614"/>
      <c r="BN614"/>
      <c r="BO614"/>
      <c r="BQ614" s="66"/>
      <c r="BR614"/>
      <c r="BS614"/>
      <c r="BT614"/>
      <c r="BU614"/>
    </row>
    <row r="615" spans="39:73" x14ac:dyDescent="0.25">
      <c r="AM615" s="66"/>
      <c r="AN615"/>
      <c r="AO615"/>
      <c r="AP615"/>
      <c r="AQ615"/>
      <c r="AS615" s="66"/>
      <c r="AT615"/>
      <c r="AU615"/>
      <c r="AV615"/>
      <c r="AW615"/>
      <c r="BK615" s="66"/>
      <c r="BL615"/>
      <c r="BM615"/>
      <c r="BN615"/>
      <c r="BO615"/>
      <c r="BQ615" s="66"/>
      <c r="BR615"/>
      <c r="BS615"/>
      <c r="BT615"/>
      <c r="BU615"/>
    </row>
    <row r="616" spans="39:73" x14ac:dyDescent="0.25">
      <c r="AM616" s="66"/>
      <c r="AN616"/>
      <c r="AO616"/>
      <c r="AP616"/>
      <c r="AQ616"/>
      <c r="AS616" s="66"/>
      <c r="AT616"/>
      <c r="AU616"/>
      <c r="AV616"/>
      <c r="AW616"/>
      <c r="BK616" s="66"/>
      <c r="BL616"/>
      <c r="BM616"/>
      <c r="BN616"/>
      <c r="BO616"/>
      <c r="BQ616" s="66"/>
      <c r="BR616"/>
      <c r="BS616"/>
      <c r="BT616"/>
      <c r="BU616"/>
    </row>
    <row r="617" spans="39:73" x14ac:dyDescent="0.25">
      <c r="AM617" s="66"/>
      <c r="AN617"/>
      <c r="AO617"/>
      <c r="AP617"/>
      <c r="AQ617"/>
      <c r="AS617" s="66"/>
      <c r="AT617"/>
      <c r="AU617"/>
      <c r="AV617"/>
      <c r="AW617"/>
      <c r="BK617" s="66"/>
      <c r="BL617"/>
      <c r="BM617"/>
      <c r="BN617"/>
      <c r="BO617"/>
      <c r="BQ617" s="66"/>
      <c r="BR617"/>
      <c r="BS617"/>
      <c r="BT617"/>
      <c r="BU617"/>
    </row>
    <row r="618" spans="39:73" x14ac:dyDescent="0.25">
      <c r="AM618" s="66"/>
      <c r="AN618"/>
      <c r="AO618"/>
      <c r="AP618"/>
      <c r="AQ618"/>
      <c r="AS618" s="66"/>
      <c r="AT618"/>
      <c r="AU618"/>
      <c r="AV618"/>
      <c r="AW618"/>
      <c r="BK618" s="66"/>
      <c r="BL618"/>
      <c r="BM618"/>
      <c r="BN618"/>
      <c r="BO618"/>
      <c r="BQ618" s="66"/>
      <c r="BR618"/>
      <c r="BS618"/>
      <c r="BT618"/>
      <c r="BU618"/>
    </row>
    <row r="619" spans="39:73" x14ac:dyDescent="0.25">
      <c r="AM619" s="66"/>
      <c r="AN619"/>
      <c r="AO619"/>
      <c r="AP619"/>
      <c r="AQ619"/>
      <c r="AS619" s="66"/>
      <c r="AT619"/>
      <c r="AU619"/>
      <c r="AV619"/>
      <c r="AW619"/>
      <c r="BK619" s="66"/>
      <c r="BL619"/>
      <c r="BM619"/>
      <c r="BN619"/>
      <c r="BO619"/>
      <c r="BQ619" s="66"/>
      <c r="BR619"/>
      <c r="BS619"/>
      <c r="BT619"/>
      <c r="BU619"/>
    </row>
    <row r="620" spans="39:73" x14ac:dyDescent="0.25">
      <c r="AM620" s="66"/>
      <c r="AN620"/>
      <c r="AO620"/>
      <c r="AP620"/>
      <c r="AQ620"/>
      <c r="AS620" s="66"/>
      <c r="AT620"/>
      <c r="AU620"/>
      <c r="AV620"/>
      <c r="AW620"/>
      <c r="BK620" s="66"/>
      <c r="BL620"/>
      <c r="BM620"/>
      <c r="BN620"/>
      <c r="BO620"/>
      <c r="BQ620" s="66"/>
      <c r="BR620"/>
      <c r="BS620"/>
      <c r="BT620"/>
      <c r="BU620"/>
    </row>
    <row r="621" spans="39:73" x14ac:dyDescent="0.25">
      <c r="AM621" s="66"/>
      <c r="AN621"/>
      <c r="AO621"/>
      <c r="AP621"/>
      <c r="AQ621"/>
      <c r="AS621" s="66"/>
      <c r="AT621"/>
      <c r="AU621"/>
      <c r="AV621"/>
      <c r="AW621"/>
      <c r="BK621" s="66"/>
      <c r="BL621"/>
      <c r="BM621"/>
      <c r="BN621"/>
      <c r="BO621"/>
      <c r="BQ621" s="66"/>
      <c r="BR621"/>
      <c r="BS621"/>
      <c r="BT621"/>
      <c r="BU621"/>
    </row>
    <row r="622" spans="39:73" x14ac:dyDescent="0.25">
      <c r="AM622" s="66"/>
      <c r="AN622"/>
      <c r="AO622"/>
      <c r="AP622"/>
      <c r="AQ622"/>
      <c r="AS622" s="66"/>
      <c r="AT622"/>
      <c r="AU622"/>
      <c r="AV622"/>
      <c r="AW622"/>
      <c r="BK622" s="66"/>
      <c r="BL622"/>
      <c r="BM622"/>
      <c r="BN622"/>
      <c r="BO622"/>
      <c r="BQ622" s="66"/>
      <c r="BR622"/>
      <c r="BS622"/>
      <c r="BT622"/>
      <c r="BU622"/>
    </row>
    <row r="623" spans="39:73" x14ac:dyDescent="0.25">
      <c r="AM623" s="66"/>
      <c r="AN623"/>
      <c r="AO623"/>
      <c r="AP623"/>
      <c r="AQ623"/>
      <c r="AS623" s="66"/>
      <c r="AT623"/>
      <c r="AU623"/>
      <c r="AV623"/>
      <c r="AW623"/>
      <c r="BK623" s="66"/>
      <c r="BL623"/>
      <c r="BM623"/>
      <c r="BN623"/>
      <c r="BO623"/>
      <c r="BQ623" s="66"/>
      <c r="BR623"/>
      <c r="BS623"/>
      <c r="BT623"/>
      <c r="BU623"/>
    </row>
    <row r="624" spans="39:73" x14ac:dyDescent="0.25">
      <c r="AM624" s="66"/>
      <c r="AN624"/>
      <c r="AO624"/>
      <c r="AP624"/>
      <c r="AQ624"/>
      <c r="AS624" s="66"/>
      <c r="AT624"/>
      <c r="AU624"/>
      <c r="AV624"/>
      <c r="AW624"/>
      <c r="BK624" s="66"/>
      <c r="BL624"/>
      <c r="BM624"/>
      <c r="BN624"/>
      <c r="BO624"/>
      <c r="BQ624" s="66"/>
      <c r="BR624"/>
      <c r="BS624"/>
      <c r="BT624"/>
      <c r="BU624"/>
    </row>
    <row r="625" spans="39:73" x14ac:dyDescent="0.25">
      <c r="AM625" s="66"/>
      <c r="AN625"/>
      <c r="AO625"/>
      <c r="AP625"/>
      <c r="AQ625"/>
      <c r="AS625" s="66"/>
      <c r="AT625"/>
      <c r="AU625"/>
      <c r="AV625"/>
      <c r="AW625"/>
      <c r="BK625" s="66"/>
      <c r="BL625"/>
      <c r="BM625"/>
      <c r="BN625"/>
      <c r="BO625"/>
      <c r="BQ625" s="66"/>
      <c r="BR625"/>
      <c r="BS625"/>
      <c r="BT625"/>
      <c r="BU625"/>
    </row>
    <row r="626" spans="39:73" x14ac:dyDescent="0.25">
      <c r="AM626" s="66"/>
      <c r="AN626"/>
      <c r="AO626"/>
      <c r="AP626"/>
      <c r="AQ626"/>
      <c r="AS626" s="66"/>
      <c r="AT626"/>
      <c r="AU626"/>
      <c r="AV626"/>
      <c r="AW626"/>
      <c r="BK626" s="66"/>
      <c r="BL626"/>
      <c r="BM626"/>
      <c r="BN626"/>
      <c r="BO626"/>
      <c r="BQ626" s="66"/>
      <c r="BR626"/>
      <c r="BS626"/>
      <c r="BT626"/>
      <c r="BU626"/>
    </row>
    <row r="627" spans="39:73" x14ac:dyDescent="0.25">
      <c r="AM627" s="66"/>
      <c r="AN627"/>
      <c r="AO627"/>
      <c r="AP627"/>
      <c r="AQ627"/>
      <c r="AS627" s="66"/>
      <c r="AT627"/>
      <c r="AU627"/>
      <c r="AV627"/>
      <c r="AW627"/>
      <c r="BK627" s="66"/>
      <c r="BL627"/>
      <c r="BM627"/>
      <c r="BN627"/>
      <c r="BO627"/>
      <c r="BQ627" s="66"/>
      <c r="BR627"/>
      <c r="BS627"/>
      <c r="BT627"/>
      <c r="BU627"/>
    </row>
    <row r="628" spans="39:73" x14ac:dyDescent="0.25">
      <c r="AM628" s="66"/>
      <c r="AN628"/>
      <c r="AO628"/>
      <c r="AP628"/>
      <c r="AQ628"/>
      <c r="AS628" s="66"/>
      <c r="AT628"/>
      <c r="AU628"/>
      <c r="AV628"/>
      <c r="AW628"/>
      <c r="BK628" s="66"/>
      <c r="BL628"/>
      <c r="BM628"/>
      <c r="BN628"/>
      <c r="BO628"/>
      <c r="BQ628" s="66"/>
      <c r="BR628"/>
      <c r="BS628"/>
      <c r="BT628"/>
      <c r="BU628"/>
    </row>
    <row r="629" spans="39:73" x14ac:dyDescent="0.25">
      <c r="AM629" s="66"/>
      <c r="AN629"/>
      <c r="AO629"/>
      <c r="AP629"/>
      <c r="AQ629"/>
      <c r="AS629" s="66"/>
      <c r="AT629"/>
      <c r="AU629"/>
      <c r="AV629"/>
      <c r="AW629"/>
      <c r="BK629" s="66"/>
      <c r="BL629"/>
      <c r="BM629"/>
      <c r="BN629"/>
      <c r="BO629"/>
      <c r="BQ629" s="66"/>
      <c r="BR629"/>
      <c r="BS629"/>
      <c r="BT629"/>
      <c r="BU629"/>
    </row>
    <row r="630" spans="39:73" x14ac:dyDescent="0.25">
      <c r="AM630" s="66"/>
      <c r="AN630"/>
      <c r="AO630"/>
      <c r="AP630"/>
      <c r="AQ630"/>
      <c r="AS630" s="66"/>
      <c r="AT630"/>
      <c r="AU630"/>
      <c r="AV630"/>
      <c r="AW630"/>
      <c r="BK630" s="66"/>
      <c r="BL630"/>
      <c r="BM630"/>
      <c r="BN630"/>
      <c r="BO630"/>
      <c r="BQ630" s="66"/>
      <c r="BR630"/>
      <c r="BS630"/>
      <c r="BT630"/>
      <c r="BU630"/>
    </row>
    <row r="631" spans="39:73" x14ac:dyDescent="0.25">
      <c r="AM631" s="66"/>
      <c r="AN631"/>
      <c r="AO631"/>
      <c r="AP631"/>
      <c r="AQ631"/>
      <c r="AS631" s="66"/>
      <c r="AT631"/>
      <c r="AU631"/>
      <c r="AV631"/>
      <c r="AW631"/>
      <c r="BK631" s="66"/>
      <c r="BL631"/>
      <c r="BM631"/>
      <c r="BN631"/>
      <c r="BO631"/>
      <c r="BQ631" s="66"/>
      <c r="BR631"/>
      <c r="BS631"/>
      <c r="BT631"/>
      <c r="BU631"/>
    </row>
    <row r="632" spans="39:73" x14ac:dyDescent="0.25">
      <c r="AM632" s="66"/>
      <c r="AN632"/>
      <c r="AO632"/>
      <c r="AP632"/>
      <c r="AQ632"/>
      <c r="AS632" s="66"/>
      <c r="AT632"/>
      <c r="AU632"/>
      <c r="AV632"/>
      <c r="AW632"/>
      <c r="BK632" s="66"/>
      <c r="BL632"/>
      <c r="BM632"/>
      <c r="BN632"/>
      <c r="BO632"/>
      <c r="BQ632" s="66"/>
      <c r="BR632"/>
      <c r="BS632"/>
      <c r="BT632"/>
      <c r="BU632"/>
    </row>
    <row r="633" spans="39:73" x14ac:dyDescent="0.25">
      <c r="AM633" s="66"/>
      <c r="AN633"/>
      <c r="AO633"/>
      <c r="AP633"/>
      <c r="AQ633"/>
      <c r="AS633" s="66"/>
      <c r="AT633"/>
      <c r="AU633"/>
      <c r="AV633"/>
      <c r="AW633"/>
      <c r="BK633" s="66"/>
      <c r="BL633"/>
      <c r="BM633"/>
      <c r="BN633"/>
      <c r="BO633"/>
      <c r="BQ633" s="66"/>
      <c r="BR633"/>
      <c r="BS633"/>
      <c r="BT633"/>
      <c r="BU633"/>
    </row>
    <row r="634" spans="39:73" x14ac:dyDescent="0.25">
      <c r="AM634" s="66"/>
      <c r="AN634"/>
      <c r="AO634"/>
      <c r="AP634"/>
      <c r="AQ634"/>
      <c r="AS634" s="66"/>
      <c r="AT634"/>
      <c r="AU634"/>
      <c r="AV634"/>
      <c r="AW634"/>
      <c r="BK634" s="66"/>
      <c r="BL634"/>
      <c r="BM634"/>
      <c r="BN634"/>
      <c r="BO634"/>
      <c r="BQ634" s="66"/>
      <c r="BR634"/>
      <c r="BS634"/>
      <c r="BT634"/>
      <c r="BU634"/>
    </row>
    <row r="635" spans="39:73" x14ac:dyDescent="0.25">
      <c r="AM635" s="66"/>
      <c r="AN635"/>
      <c r="AO635"/>
      <c r="AP635"/>
      <c r="AQ635"/>
      <c r="AS635" s="66"/>
      <c r="AT635"/>
      <c r="AU635"/>
      <c r="AV635"/>
      <c r="AW635"/>
      <c r="BK635" s="66"/>
      <c r="BL635"/>
      <c r="BM635"/>
      <c r="BN635"/>
      <c r="BO635"/>
      <c r="BQ635" s="66"/>
      <c r="BR635"/>
      <c r="BS635"/>
      <c r="BT635"/>
      <c r="BU635"/>
    </row>
    <row r="636" spans="39:73" x14ac:dyDescent="0.25">
      <c r="AM636" s="66"/>
      <c r="AN636"/>
      <c r="AO636"/>
      <c r="AP636"/>
      <c r="AQ636"/>
      <c r="AS636" s="66"/>
      <c r="AT636"/>
      <c r="AU636"/>
      <c r="AV636"/>
      <c r="AW636"/>
      <c r="BK636" s="66"/>
      <c r="BL636"/>
      <c r="BM636"/>
      <c r="BN636"/>
      <c r="BO636"/>
      <c r="BQ636" s="66"/>
      <c r="BR636"/>
      <c r="BS636"/>
      <c r="BT636"/>
      <c r="BU636"/>
    </row>
    <row r="637" spans="39:73" x14ac:dyDescent="0.25">
      <c r="AM637" s="66"/>
      <c r="AN637"/>
      <c r="AO637"/>
      <c r="AP637"/>
      <c r="AQ637"/>
      <c r="AS637" s="66"/>
      <c r="AT637"/>
      <c r="AU637"/>
      <c r="AV637"/>
      <c r="AW637"/>
      <c r="BK637" s="66"/>
      <c r="BL637"/>
      <c r="BM637"/>
      <c r="BN637"/>
      <c r="BO637"/>
      <c r="BQ637" s="66"/>
      <c r="BR637"/>
      <c r="BS637"/>
      <c r="BT637"/>
      <c r="BU637"/>
    </row>
    <row r="638" spans="39:73" x14ac:dyDescent="0.25">
      <c r="AM638" s="66"/>
      <c r="AN638"/>
      <c r="AO638"/>
      <c r="AP638"/>
      <c r="AQ638"/>
      <c r="AS638" s="66"/>
      <c r="AT638"/>
      <c r="AU638"/>
      <c r="AV638"/>
      <c r="AW638"/>
      <c r="BK638" s="66"/>
      <c r="BL638"/>
      <c r="BM638"/>
      <c r="BN638"/>
      <c r="BO638"/>
      <c r="BQ638" s="66"/>
      <c r="BR638"/>
      <c r="BS638"/>
      <c r="BT638"/>
      <c r="BU638"/>
    </row>
    <row r="639" spans="39:73" x14ac:dyDescent="0.25">
      <c r="AM639" s="66"/>
      <c r="AN639"/>
      <c r="AO639"/>
      <c r="AP639"/>
      <c r="AQ639"/>
      <c r="AS639" s="66"/>
      <c r="AT639"/>
      <c r="AU639"/>
      <c r="AV639"/>
      <c r="AW639"/>
      <c r="BK639" s="66"/>
      <c r="BL639"/>
      <c r="BM639"/>
      <c r="BN639"/>
      <c r="BO639"/>
      <c r="BQ639" s="66"/>
      <c r="BR639"/>
      <c r="BS639"/>
      <c r="BT639"/>
      <c r="BU639"/>
    </row>
    <row r="640" spans="39:73" x14ac:dyDescent="0.25">
      <c r="AM640" s="66"/>
      <c r="AN640"/>
      <c r="AO640"/>
      <c r="AP640"/>
      <c r="AQ640"/>
      <c r="AS640" s="66"/>
      <c r="AT640"/>
      <c r="AU640"/>
      <c r="AV640"/>
      <c r="AW640"/>
      <c r="BK640" s="66"/>
      <c r="BL640"/>
      <c r="BM640"/>
      <c r="BN640"/>
      <c r="BO640"/>
      <c r="BQ640" s="66"/>
      <c r="BR640"/>
      <c r="BS640"/>
      <c r="BT640"/>
      <c r="BU640"/>
    </row>
    <row r="641" spans="39:73" x14ac:dyDescent="0.25">
      <c r="AM641" s="66"/>
      <c r="AN641"/>
      <c r="AO641"/>
      <c r="AP641"/>
      <c r="AQ641"/>
      <c r="AS641" s="66"/>
      <c r="AT641"/>
      <c r="AU641"/>
      <c r="AV641"/>
      <c r="AW641"/>
      <c r="BK641" s="66"/>
      <c r="BL641"/>
      <c r="BM641"/>
      <c r="BN641"/>
      <c r="BO641"/>
      <c r="BQ641" s="66"/>
      <c r="BR641"/>
      <c r="BS641"/>
      <c r="BT641"/>
      <c r="BU641"/>
    </row>
    <row r="642" spans="39:73" x14ac:dyDescent="0.25">
      <c r="AM642" s="66"/>
      <c r="AN642"/>
      <c r="AO642"/>
      <c r="AP642"/>
      <c r="AQ642"/>
      <c r="AS642" s="66"/>
      <c r="AT642"/>
      <c r="AU642"/>
      <c r="AV642"/>
      <c r="AW642"/>
      <c r="BK642" s="66"/>
      <c r="BL642"/>
      <c r="BM642"/>
      <c r="BN642"/>
      <c r="BO642"/>
      <c r="BQ642" s="66"/>
      <c r="BR642"/>
      <c r="BS642"/>
      <c r="BT642"/>
      <c r="BU642"/>
    </row>
    <row r="643" spans="39:73" x14ac:dyDescent="0.25">
      <c r="AM643" s="66"/>
      <c r="AN643"/>
      <c r="AO643"/>
      <c r="AP643"/>
      <c r="AQ643"/>
      <c r="AS643" s="66"/>
      <c r="AT643"/>
      <c r="AU643"/>
      <c r="AV643"/>
      <c r="AW643"/>
      <c r="BK643" s="66"/>
      <c r="BL643"/>
      <c r="BM643"/>
      <c r="BN643"/>
      <c r="BO643"/>
      <c r="BQ643" s="66"/>
      <c r="BR643"/>
      <c r="BS643"/>
      <c r="BT643"/>
      <c r="BU643"/>
    </row>
    <row r="644" spans="39:73" x14ac:dyDescent="0.25">
      <c r="AM644" s="66"/>
      <c r="AN644"/>
      <c r="AO644"/>
      <c r="AP644"/>
      <c r="AQ644"/>
      <c r="AS644" s="66"/>
      <c r="AT644"/>
      <c r="AU644"/>
      <c r="AV644"/>
      <c r="AW644"/>
      <c r="BK644" s="66"/>
      <c r="BL644"/>
      <c r="BM644"/>
      <c r="BN644"/>
      <c r="BO644"/>
      <c r="BQ644" s="66"/>
      <c r="BR644"/>
      <c r="BS644"/>
      <c r="BT644"/>
      <c r="BU644"/>
    </row>
    <row r="645" spans="39:73" x14ac:dyDescent="0.25">
      <c r="AM645" s="66"/>
      <c r="AN645"/>
      <c r="AO645"/>
      <c r="AP645"/>
      <c r="AQ645"/>
      <c r="AS645" s="66"/>
      <c r="AT645"/>
      <c r="AU645"/>
      <c r="AV645"/>
      <c r="AW645"/>
      <c r="BK645" s="66"/>
      <c r="BL645"/>
      <c r="BM645"/>
      <c r="BN645"/>
      <c r="BO645"/>
      <c r="BQ645" s="66"/>
      <c r="BR645"/>
      <c r="BS645"/>
      <c r="BT645"/>
      <c r="BU645"/>
    </row>
    <row r="646" spans="39:73" x14ac:dyDescent="0.25">
      <c r="AM646" s="66"/>
      <c r="AN646"/>
      <c r="AO646"/>
      <c r="AP646"/>
      <c r="AQ646"/>
      <c r="AS646" s="66"/>
      <c r="AT646"/>
      <c r="AU646"/>
      <c r="AV646"/>
      <c r="AW646"/>
      <c r="BK646" s="66"/>
      <c r="BL646"/>
      <c r="BM646"/>
      <c r="BN646"/>
      <c r="BO646"/>
      <c r="BQ646" s="66"/>
      <c r="BR646"/>
      <c r="BS646"/>
      <c r="BT646"/>
      <c r="BU646"/>
    </row>
    <row r="647" spans="39:73" x14ac:dyDescent="0.25">
      <c r="AM647" s="66"/>
      <c r="AN647"/>
      <c r="AO647"/>
      <c r="AP647"/>
      <c r="AQ647"/>
      <c r="AS647" s="66"/>
      <c r="AT647"/>
      <c r="AU647"/>
      <c r="AV647"/>
      <c r="AW647"/>
      <c r="BK647" s="66"/>
      <c r="BL647"/>
      <c r="BM647"/>
      <c r="BN647"/>
      <c r="BO647"/>
      <c r="BQ647" s="66"/>
      <c r="BR647"/>
      <c r="BS647"/>
      <c r="BT647"/>
      <c r="BU647"/>
    </row>
    <row r="648" spans="39:73" x14ac:dyDescent="0.25">
      <c r="AM648" s="66"/>
      <c r="AN648"/>
      <c r="AO648"/>
      <c r="AP648"/>
      <c r="AQ648"/>
      <c r="AS648" s="66"/>
      <c r="AT648"/>
      <c r="AU648"/>
      <c r="AV648"/>
      <c r="AW648"/>
      <c r="BK648" s="66"/>
      <c r="BL648"/>
      <c r="BM648"/>
      <c r="BN648"/>
      <c r="BO648"/>
      <c r="BQ648" s="66"/>
      <c r="BR648"/>
      <c r="BS648"/>
      <c r="BT648"/>
      <c r="BU648"/>
    </row>
    <row r="649" spans="39:73" x14ac:dyDescent="0.25">
      <c r="AM649" s="66"/>
      <c r="AN649"/>
      <c r="AO649"/>
      <c r="AP649"/>
      <c r="AQ649"/>
      <c r="AS649" s="66"/>
      <c r="AT649"/>
      <c r="AU649"/>
      <c r="AV649"/>
      <c r="AW649"/>
      <c r="BK649" s="66"/>
      <c r="BL649"/>
      <c r="BM649"/>
      <c r="BN649"/>
      <c r="BO649"/>
      <c r="BQ649" s="66"/>
      <c r="BR649"/>
      <c r="BS649"/>
      <c r="BT649"/>
      <c r="BU649"/>
    </row>
    <row r="650" spans="39:73" x14ac:dyDescent="0.25">
      <c r="AM650" s="66"/>
      <c r="AN650"/>
      <c r="AO650"/>
      <c r="AP650"/>
      <c r="AQ650"/>
      <c r="AS650" s="66"/>
      <c r="AT650"/>
      <c r="AU650"/>
      <c r="AV650"/>
      <c r="AW650"/>
      <c r="BK650" s="66"/>
      <c r="BL650"/>
      <c r="BM650"/>
      <c r="BN650"/>
      <c r="BO650"/>
      <c r="BQ650" s="66"/>
      <c r="BR650"/>
      <c r="BS650"/>
      <c r="BT650"/>
      <c r="BU650"/>
    </row>
    <row r="651" spans="39:73" x14ac:dyDescent="0.25">
      <c r="AM651" s="66"/>
      <c r="AN651"/>
      <c r="AO651"/>
      <c r="AP651"/>
      <c r="AQ651"/>
      <c r="AS651" s="66"/>
      <c r="AT651"/>
      <c r="AU651"/>
      <c r="AV651"/>
      <c r="AW651"/>
      <c r="BK651" s="66"/>
      <c r="BL651"/>
      <c r="BM651"/>
      <c r="BN651"/>
      <c r="BO651"/>
      <c r="BQ651" s="66"/>
      <c r="BR651"/>
      <c r="BS651"/>
      <c r="BT651"/>
      <c r="BU651"/>
    </row>
    <row r="652" spans="39:73" x14ac:dyDescent="0.25">
      <c r="AM652" s="66"/>
      <c r="AN652"/>
      <c r="AO652"/>
      <c r="AP652"/>
      <c r="AQ652"/>
      <c r="AS652" s="66"/>
      <c r="AT652"/>
      <c r="AU652"/>
      <c r="AV652"/>
      <c r="AW652"/>
      <c r="BK652" s="66"/>
      <c r="BL652"/>
      <c r="BM652"/>
      <c r="BN652"/>
      <c r="BO652"/>
      <c r="BQ652" s="66"/>
      <c r="BR652"/>
      <c r="BS652"/>
      <c r="BT652"/>
      <c r="BU652"/>
    </row>
    <row r="653" spans="39:73" x14ac:dyDescent="0.25">
      <c r="AM653" s="66"/>
      <c r="AN653"/>
      <c r="AO653"/>
      <c r="AP653"/>
      <c r="AQ653"/>
      <c r="AS653" s="66"/>
      <c r="AT653"/>
      <c r="AU653"/>
      <c r="AV653"/>
      <c r="AW653"/>
      <c r="BK653" s="66"/>
      <c r="BL653"/>
      <c r="BM653"/>
      <c r="BN653"/>
      <c r="BO653"/>
      <c r="BQ653" s="66"/>
      <c r="BR653"/>
      <c r="BS653"/>
      <c r="BT653"/>
      <c r="BU653"/>
    </row>
    <row r="654" spans="39:73" x14ac:dyDescent="0.25">
      <c r="AM654" s="66"/>
      <c r="AN654"/>
      <c r="AO654"/>
      <c r="AP654"/>
      <c r="AQ654"/>
      <c r="AS654" s="66"/>
      <c r="AT654"/>
      <c r="AU654"/>
      <c r="AV654"/>
      <c r="AW654"/>
      <c r="BK654" s="66"/>
      <c r="BL654"/>
      <c r="BM654"/>
      <c r="BN654"/>
      <c r="BO654"/>
      <c r="BQ654" s="66"/>
      <c r="BR654"/>
      <c r="BS654"/>
      <c r="BT654"/>
      <c r="BU654"/>
    </row>
    <row r="655" spans="39:73" x14ac:dyDescent="0.25">
      <c r="AM655" s="66"/>
      <c r="AN655"/>
      <c r="AO655"/>
      <c r="AP655"/>
      <c r="AQ655"/>
      <c r="AS655" s="66"/>
      <c r="AT655"/>
      <c r="AU655"/>
      <c r="AV655"/>
      <c r="AW655"/>
      <c r="BK655" s="66"/>
      <c r="BL655"/>
      <c r="BM655"/>
      <c r="BN655"/>
      <c r="BO655"/>
      <c r="BQ655" s="66"/>
      <c r="BR655"/>
      <c r="BS655"/>
      <c r="BT655"/>
      <c r="BU655"/>
    </row>
    <row r="656" spans="39:73" x14ac:dyDescent="0.25">
      <c r="AM656" s="66"/>
      <c r="AN656"/>
      <c r="AO656"/>
      <c r="AP656"/>
      <c r="AQ656"/>
      <c r="AS656" s="66"/>
      <c r="AT656"/>
      <c r="AU656"/>
      <c r="AV656"/>
      <c r="AW656"/>
      <c r="BK656" s="66"/>
      <c r="BL656"/>
      <c r="BM656"/>
      <c r="BN656"/>
      <c r="BO656"/>
      <c r="BQ656" s="66"/>
      <c r="BR656"/>
      <c r="BS656"/>
      <c r="BT656"/>
      <c r="BU656"/>
    </row>
    <row r="657" spans="39:73" x14ac:dyDescent="0.25">
      <c r="AM657" s="66"/>
      <c r="AN657"/>
      <c r="AO657"/>
      <c r="AP657"/>
      <c r="AQ657"/>
      <c r="AS657" s="66"/>
      <c r="AT657"/>
      <c r="AU657"/>
      <c r="AV657"/>
      <c r="AW657"/>
      <c r="BK657" s="66"/>
      <c r="BL657"/>
      <c r="BM657"/>
      <c r="BN657"/>
      <c r="BO657"/>
      <c r="BQ657" s="66"/>
      <c r="BR657"/>
      <c r="BS657"/>
      <c r="BT657"/>
      <c r="BU657"/>
    </row>
    <row r="658" spans="39:73" x14ac:dyDescent="0.25">
      <c r="AM658" s="66"/>
      <c r="AN658"/>
      <c r="AO658"/>
      <c r="AP658"/>
      <c r="AQ658"/>
      <c r="AS658" s="66"/>
      <c r="AT658"/>
      <c r="AU658"/>
      <c r="AV658"/>
      <c r="AW658"/>
      <c r="BK658" s="66"/>
      <c r="BL658"/>
      <c r="BM658"/>
      <c r="BN658"/>
      <c r="BO658"/>
      <c r="BQ658" s="66"/>
      <c r="BR658"/>
      <c r="BS658"/>
      <c r="BT658"/>
      <c r="BU658"/>
    </row>
    <row r="659" spans="39:73" x14ac:dyDescent="0.25">
      <c r="AM659" s="66"/>
      <c r="AN659"/>
      <c r="AO659"/>
      <c r="AP659"/>
      <c r="AQ659"/>
      <c r="AS659" s="66"/>
      <c r="AT659"/>
      <c r="AU659"/>
      <c r="AV659"/>
      <c r="AW659"/>
      <c r="BK659" s="66"/>
      <c r="BL659"/>
      <c r="BM659"/>
      <c r="BN659"/>
      <c r="BO659"/>
      <c r="BQ659" s="66"/>
      <c r="BR659"/>
      <c r="BS659"/>
      <c r="BT659"/>
      <c r="BU659"/>
    </row>
    <row r="660" spans="39:73" x14ac:dyDescent="0.25">
      <c r="AM660" s="66"/>
      <c r="AN660"/>
      <c r="AO660"/>
      <c r="AP660"/>
      <c r="AQ660"/>
      <c r="AS660" s="66"/>
      <c r="AT660"/>
      <c r="AU660"/>
      <c r="AV660"/>
      <c r="AW660"/>
      <c r="BK660" s="66"/>
      <c r="BL660"/>
      <c r="BM660"/>
      <c r="BN660"/>
      <c r="BO660"/>
      <c r="BQ660" s="66"/>
      <c r="BR660"/>
      <c r="BS660"/>
      <c r="BT660"/>
      <c r="BU660"/>
    </row>
    <row r="661" spans="39:73" x14ac:dyDescent="0.25">
      <c r="AM661" s="66"/>
      <c r="AN661"/>
      <c r="AO661"/>
      <c r="AP661"/>
      <c r="AQ661"/>
      <c r="AS661" s="66"/>
      <c r="AT661"/>
      <c r="AU661"/>
      <c r="AV661"/>
      <c r="AW661"/>
      <c r="BK661" s="66"/>
      <c r="BL661"/>
      <c r="BM661"/>
      <c r="BN661"/>
      <c r="BO661"/>
      <c r="BQ661" s="66"/>
      <c r="BR661"/>
      <c r="BS661"/>
      <c r="BT661"/>
      <c r="BU661"/>
    </row>
    <row r="662" spans="39:73" x14ac:dyDescent="0.25">
      <c r="AM662" s="66"/>
      <c r="AN662"/>
      <c r="AO662"/>
      <c r="AP662"/>
      <c r="AQ662"/>
      <c r="AS662" s="66"/>
      <c r="AT662"/>
      <c r="AU662"/>
      <c r="AV662"/>
      <c r="AW662"/>
      <c r="BK662" s="66"/>
      <c r="BL662"/>
      <c r="BM662"/>
      <c r="BN662"/>
      <c r="BO662"/>
      <c r="BQ662" s="66"/>
      <c r="BR662"/>
      <c r="BS662"/>
      <c r="BT662"/>
      <c r="BU662"/>
    </row>
    <row r="663" spans="39:73" x14ac:dyDescent="0.25">
      <c r="AM663" s="66"/>
      <c r="AN663"/>
      <c r="AO663"/>
      <c r="AP663"/>
      <c r="AQ663"/>
      <c r="AS663" s="66"/>
      <c r="AT663"/>
      <c r="AU663"/>
      <c r="AV663"/>
      <c r="AW663"/>
      <c r="BK663" s="66"/>
      <c r="BL663"/>
      <c r="BM663"/>
      <c r="BN663"/>
      <c r="BO663"/>
      <c r="BQ663" s="66"/>
      <c r="BR663"/>
      <c r="BS663"/>
      <c r="BT663"/>
      <c r="BU663"/>
    </row>
    <row r="664" spans="39:73" x14ac:dyDescent="0.25">
      <c r="AM664" s="66"/>
      <c r="AN664"/>
      <c r="AO664"/>
      <c r="AP664"/>
      <c r="AQ664"/>
      <c r="AS664" s="66"/>
      <c r="AT664"/>
      <c r="AU664"/>
      <c r="AV664"/>
      <c r="AW664"/>
      <c r="BK664" s="66"/>
      <c r="BL664"/>
      <c r="BM664"/>
      <c r="BN664"/>
      <c r="BO664"/>
      <c r="BQ664" s="66"/>
      <c r="BR664"/>
      <c r="BS664"/>
      <c r="BT664"/>
      <c r="BU664"/>
    </row>
    <row r="665" spans="39:73" x14ac:dyDescent="0.25">
      <c r="AM665" s="66"/>
      <c r="AN665"/>
      <c r="AO665"/>
      <c r="AP665"/>
      <c r="AQ665"/>
      <c r="AS665" s="66"/>
      <c r="AT665"/>
      <c r="AU665"/>
      <c r="AV665"/>
      <c r="AW665"/>
      <c r="BK665" s="66"/>
      <c r="BL665"/>
      <c r="BM665"/>
      <c r="BN665"/>
      <c r="BO665"/>
      <c r="BQ665" s="66"/>
      <c r="BR665"/>
      <c r="BS665"/>
      <c r="BT665"/>
      <c r="BU665"/>
    </row>
    <row r="666" spans="39:73" x14ac:dyDescent="0.25">
      <c r="AM666" s="66"/>
      <c r="AN666"/>
      <c r="AO666"/>
      <c r="AP666"/>
      <c r="AQ666"/>
      <c r="AS666" s="66"/>
      <c r="AT666"/>
      <c r="AU666"/>
      <c r="AV666"/>
      <c r="AW666"/>
      <c r="BK666" s="66"/>
      <c r="BL666"/>
      <c r="BM666"/>
      <c r="BN666"/>
      <c r="BO666"/>
      <c r="BQ666" s="66"/>
      <c r="BR666"/>
      <c r="BS666"/>
      <c r="BT666"/>
      <c r="BU666"/>
    </row>
    <row r="667" spans="39:73" x14ac:dyDescent="0.25">
      <c r="AM667" s="66"/>
      <c r="AN667"/>
      <c r="AO667"/>
      <c r="AP667"/>
      <c r="AQ667"/>
      <c r="AS667" s="66"/>
      <c r="AT667"/>
      <c r="AU667"/>
      <c r="AV667"/>
      <c r="AW667"/>
      <c r="BK667" s="66"/>
      <c r="BL667"/>
      <c r="BM667"/>
      <c r="BN667"/>
      <c r="BO667"/>
      <c r="BQ667" s="66"/>
      <c r="BR667"/>
      <c r="BS667"/>
      <c r="BT667"/>
      <c r="BU667"/>
    </row>
    <row r="668" spans="39:73" x14ac:dyDescent="0.25">
      <c r="AM668" s="66"/>
      <c r="AN668"/>
      <c r="AO668"/>
      <c r="AP668"/>
      <c r="AQ668"/>
      <c r="AS668" s="66"/>
      <c r="AT668"/>
      <c r="AU668"/>
      <c r="AV668"/>
      <c r="AW668"/>
      <c r="BK668" s="66"/>
      <c r="BL668"/>
      <c r="BM668"/>
      <c r="BN668"/>
      <c r="BO668"/>
      <c r="BQ668" s="66"/>
      <c r="BR668"/>
      <c r="BS668"/>
      <c r="BT668"/>
      <c r="BU668"/>
    </row>
    <row r="669" spans="39:73" x14ac:dyDescent="0.25">
      <c r="AM669" s="66"/>
      <c r="AN669"/>
      <c r="AO669"/>
      <c r="AP669"/>
      <c r="AQ669"/>
      <c r="AS669" s="66"/>
      <c r="AT669"/>
      <c r="AU669"/>
      <c r="AV669"/>
      <c r="AW669"/>
      <c r="BK669" s="66"/>
      <c r="BL669"/>
      <c r="BM669"/>
      <c r="BN669"/>
      <c r="BO669"/>
      <c r="BQ669" s="66"/>
      <c r="BR669"/>
      <c r="BS669"/>
      <c r="BT669"/>
      <c r="BU669"/>
    </row>
    <row r="670" spans="39:73" x14ac:dyDescent="0.25">
      <c r="AM670" s="66"/>
      <c r="AN670"/>
      <c r="AO670"/>
      <c r="AP670"/>
      <c r="AQ670"/>
      <c r="AS670" s="66"/>
      <c r="AT670"/>
      <c r="AU670"/>
      <c r="AV670"/>
      <c r="AW670"/>
      <c r="BK670" s="66"/>
      <c r="BL670"/>
      <c r="BM670"/>
      <c r="BN670"/>
      <c r="BO670"/>
      <c r="BQ670" s="66"/>
      <c r="BR670"/>
      <c r="BS670"/>
      <c r="BT670"/>
      <c r="BU670"/>
    </row>
    <row r="671" spans="39:73" x14ac:dyDescent="0.25">
      <c r="AM671" s="66"/>
      <c r="AN671"/>
      <c r="AO671"/>
      <c r="AP671"/>
      <c r="AQ671"/>
      <c r="AS671" s="66"/>
      <c r="AT671"/>
      <c r="AU671"/>
      <c r="AV671"/>
      <c r="AW671"/>
      <c r="BK671" s="66"/>
      <c r="BL671"/>
      <c r="BM671"/>
      <c r="BN671"/>
      <c r="BO671"/>
      <c r="BQ671" s="66"/>
      <c r="BR671"/>
      <c r="BS671"/>
      <c r="BT671"/>
      <c r="BU671"/>
    </row>
    <row r="672" spans="39:73" x14ac:dyDescent="0.25">
      <c r="AM672" s="66"/>
      <c r="AN672"/>
      <c r="AO672"/>
      <c r="AP672"/>
      <c r="AQ672"/>
      <c r="AS672" s="66"/>
      <c r="AT672"/>
      <c r="AU672"/>
      <c r="AV672"/>
      <c r="AW672"/>
      <c r="BK672" s="66"/>
      <c r="BL672"/>
      <c r="BM672"/>
      <c r="BN672"/>
      <c r="BO672"/>
      <c r="BQ672" s="66"/>
      <c r="BR672"/>
      <c r="BS672"/>
      <c r="BT672"/>
      <c r="BU672"/>
    </row>
    <row r="673" spans="39:73" x14ac:dyDescent="0.25">
      <c r="AM673" s="66"/>
      <c r="AN673"/>
      <c r="AO673"/>
      <c r="AP673"/>
      <c r="AQ673"/>
      <c r="AS673" s="66"/>
      <c r="AT673"/>
      <c r="AU673"/>
      <c r="AV673"/>
      <c r="AW673"/>
      <c r="BK673" s="66"/>
      <c r="BL673"/>
      <c r="BM673"/>
      <c r="BN673"/>
      <c r="BO673"/>
      <c r="BQ673" s="66"/>
      <c r="BR673"/>
      <c r="BS673"/>
      <c r="BT673"/>
      <c r="BU673"/>
    </row>
    <row r="674" spans="39:73" x14ac:dyDescent="0.25">
      <c r="AM674" s="66"/>
      <c r="AN674"/>
      <c r="AO674"/>
      <c r="AP674"/>
      <c r="AQ674"/>
      <c r="AS674" s="66"/>
      <c r="AT674"/>
      <c r="AU674"/>
      <c r="AV674"/>
      <c r="AW674"/>
      <c r="BK674" s="66"/>
      <c r="BL674"/>
      <c r="BM674"/>
      <c r="BN674"/>
      <c r="BO674"/>
      <c r="BQ674" s="66"/>
      <c r="BR674"/>
      <c r="BS674"/>
      <c r="BT674"/>
      <c r="BU674"/>
    </row>
    <row r="675" spans="39:73" x14ac:dyDescent="0.25">
      <c r="AM675" s="66"/>
      <c r="AN675"/>
      <c r="AO675"/>
      <c r="AP675"/>
      <c r="AQ675"/>
      <c r="AS675" s="66"/>
      <c r="AT675"/>
      <c r="AU675"/>
      <c r="AV675"/>
      <c r="AW675"/>
      <c r="BK675" s="66"/>
      <c r="BL675"/>
      <c r="BM675"/>
      <c r="BN675"/>
      <c r="BO675"/>
      <c r="BQ675" s="66"/>
      <c r="BR675"/>
      <c r="BS675"/>
      <c r="BT675"/>
      <c r="BU675"/>
    </row>
    <row r="676" spans="39:73" x14ac:dyDescent="0.25">
      <c r="AM676" s="66"/>
      <c r="AN676"/>
      <c r="AO676"/>
      <c r="AP676"/>
      <c r="AQ676"/>
      <c r="AS676" s="66"/>
      <c r="AT676"/>
      <c r="AU676"/>
      <c r="AV676"/>
      <c r="AW676"/>
      <c r="BK676" s="66"/>
      <c r="BL676"/>
      <c r="BM676"/>
      <c r="BN676"/>
      <c r="BO676"/>
      <c r="BQ676" s="66"/>
      <c r="BR676"/>
      <c r="BS676"/>
      <c r="BT676"/>
      <c r="BU676"/>
    </row>
    <row r="677" spans="39:73" x14ac:dyDescent="0.25">
      <c r="AM677" s="66"/>
      <c r="AN677"/>
      <c r="AO677"/>
      <c r="AP677"/>
      <c r="AQ677"/>
      <c r="AS677" s="66"/>
      <c r="AT677"/>
      <c r="AU677"/>
      <c r="AV677"/>
      <c r="AW677"/>
      <c r="BK677" s="66"/>
      <c r="BL677"/>
      <c r="BM677"/>
      <c r="BN677"/>
      <c r="BO677"/>
      <c r="BQ677" s="66"/>
      <c r="BR677"/>
      <c r="BS677"/>
      <c r="BT677"/>
      <c r="BU677"/>
    </row>
    <row r="678" spans="39:73" x14ac:dyDescent="0.25">
      <c r="AM678" s="66"/>
      <c r="AN678"/>
      <c r="AO678"/>
      <c r="AP678"/>
      <c r="AQ678"/>
      <c r="AS678" s="66"/>
      <c r="AT678"/>
      <c r="AU678"/>
      <c r="AV678"/>
      <c r="AW678"/>
      <c r="BK678" s="66"/>
      <c r="BL678"/>
      <c r="BM678"/>
      <c r="BN678"/>
      <c r="BO678"/>
      <c r="BQ678" s="66"/>
      <c r="BR678"/>
      <c r="BS678"/>
      <c r="BT678"/>
      <c r="BU678"/>
    </row>
    <row r="679" spans="39:73" x14ac:dyDescent="0.25">
      <c r="AM679" s="66"/>
      <c r="AN679"/>
      <c r="AO679"/>
      <c r="AP679"/>
      <c r="AQ679"/>
      <c r="AS679" s="66"/>
      <c r="AT679"/>
      <c r="AU679"/>
      <c r="AV679"/>
      <c r="AW679"/>
      <c r="BK679" s="66"/>
      <c r="BL679"/>
      <c r="BM679"/>
      <c r="BN679"/>
      <c r="BO679"/>
      <c r="BQ679" s="66"/>
      <c r="BR679"/>
      <c r="BS679"/>
      <c r="BT679"/>
      <c r="BU679"/>
    </row>
    <row r="680" spans="39:73" x14ac:dyDescent="0.25">
      <c r="AM680" s="66"/>
      <c r="AN680"/>
      <c r="AO680"/>
      <c r="AP680"/>
      <c r="AQ680"/>
      <c r="AS680" s="66"/>
      <c r="AT680"/>
      <c r="AU680"/>
      <c r="AV680"/>
      <c r="AW680"/>
      <c r="BK680" s="66"/>
      <c r="BL680"/>
      <c r="BM680"/>
      <c r="BN680"/>
      <c r="BO680"/>
      <c r="BQ680" s="66"/>
      <c r="BR680"/>
      <c r="BS680"/>
      <c r="BT680"/>
      <c r="BU680"/>
    </row>
    <row r="681" spans="39:73" x14ac:dyDescent="0.25">
      <c r="AM681" s="66"/>
      <c r="AN681"/>
      <c r="AO681"/>
      <c r="AP681"/>
      <c r="AQ681"/>
      <c r="AS681" s="66"/>
      <c r="AT681"/>
      <c r="AU681"/>
      <c r="AV681"/>
      <c r="AW681"/>
      <c r="BK681" s="66"/>
      <c r="BL681"/>
      <c r="BM681"/>
      <c r="BN681"/>
      <c r="BO681"/>
      <c r="BQ681" s="66"/>
      <c r="BR681"/>
      <c r="BS681"/>
      <c r="BT681"/>
      <c r="BU681"/>
    </row>
    <row r="682" spans="39:73" x14ac:dyDescent="0.25">
      <c r="AM682" s="66"/>
      <c r="AN682"/>
      <c r="AO682"/>
      <c r="AP682"/>
      <c r="AQ682"/>
      <c r="AS682" s="66"/>
      <c r="AT682"/>
      <c r="AU682"/>
      <c r="AV682"/>
      <c r="AW682"/>
      <c r="BK682" s="66"/>
      <c r="BL682"/>
      <c r="BM682"/>
      <c r="BN682"/>
      <c r="BO682"/>
      <c r="BQ682" s="66"/>
      <c r="BR682"/>
      <c r="BS682"/>
      <c r="BT682"/>
      <c r="BU682"/>
    </row>
    <row r="683" spans="39:73" x14ac:dyDescent="0.25">
      <c r="AM683" s="66"/>
      <c r="AN683"/>
      <c r="AO683"/>
      <c r="AP683"/>
      <c r="AQ683"/>
      <c r="AS683" s="66"/>
      <c r="AT683"/>
      <c r="AU683"/>
      <c r="AV683"/>
      <c r="AW683"/>
      <c r="BK683" s="66"/>
      <c r="BL683"/>
      <c r="BM683"/>
      <c r="BN683"/>
      <c r="BO683"/>
      <c r="BQ683" s="66"/>
      <c r="BR683"/>
      <c r="BS683"/>
      <c r="BT683"/>
      <c r="BU683"/>
    </row>
    <row r="684" spans="39:73" x14ac:dyDescent="0.25">
      <c r="AM684" s="66"/>
      <c r="AN684"/>
      <c r="AO684"/>
      <c r="AP684"/>
      <c r="AQ684"/>
      <c r="AS684" s="66"/>
      <c r="AT684"/>
      <c r="AU684"/>
      <c r="AV684"/>
      <c r="AW684"/>
      <c r="BK684" s="66"/>
      <c r="BL684"/>
      <c r="BM684"/>
      <c r="BN684"/>
      <c r="BO684"/>
      <c r="BQ684" s="66"/>
      <c r="BR684"/>
      <c r="BS684"/>
      <c r="BT684"/>
      <c r="BU684"/>
    </row>
    <row r="685" spans="39:73" x14ac:dyDescent="0.25">
      <c r="AM685" s="66"/>
      <c r="AN685"/>
      <c r="AO685"/>
      <c r="AP685"/>
      <c r="AQ685"/>
      <c r="AS685" s="66"/>
      <c r="AT685"/>
      <c r="AU685"/>
      <c r="AV685"/>
      <c r="AW685"/>
      <c r="BK685" s="66"/>
      <c r="BL685"/>
      <c r="BM685"/>
      <c r="BN685"/>
      <c r="BO685"/>
      <c r="BQ685" s="66"/>
      <c r="BR685"/>
      <c r="BS685"/>
      <c r="BT685"/>
      <c r="BU685"/>
    </row>
    <row r="686" spans="39:73" x14ac:dyDescent="0.25">
      <c r="AM686" s="66"/>
      <c r="AN686"/>
      <c r="AO686"/>
      <c r="AP686"/>
      <c r="AQ686"/>
      <c r="AS686" s="66"/>
      <c r="AT686"/>
      <c r="AU686"/>
      <c r="AV686"/>
      <c r="AW686"/>
      <c r="BK686" s="66"/>
      <c r="BL686"/>
      <c r="BM686"/>
      <c r="BN686"/>
      <c r="BO686"/>
      <c r="BQ686" s="66"/>
      <c r="BR686"/>
      <c r="BS686"/>
      <c r="BT686"/>
      <c r="BU686"/>
    </row>
    <row r="687" spans="39:73" x14ac:dyDescent="0.25">
      <c r="AM687" s="66"/>
      <c r="AN687"/>
      <c r="AO687"/>
      <c r="AP687"/>
      <c r="AQ687"/>
      <c r="AS687" s="66"/>
      <c r="AT687"/>
      <c r="AU687"/>
      <c r="AV687"/>
      <c r="AW687"/>
      <c r="BK687" s="66"/>
      <c r="BL687"/>
      <c r="BM687"/>
      <c r="BN687"/>
      <c r="BO687"/>
      <c r="BQ687" s="66"/>
      <c r="BR687"/>
      <c r="BS687"/>
      <c r="BT687"/>
      <c r="BU687"/>
    </row>
    <row r="688" spans="39:73" x14ac:dyDescent="0.25">
      <c r="AM688" s="66"/>
      <c r="AN688"/>
      <c r="AO688"/>
      <c r="AP688"/>
      <c r="AQ688"/>
      <c r="AS688" s="66"/>
      <c r="AT688"/>
      <c r="AU688"/>
      <c r="AV688"/>
      <c r="AW688"/>
      <c r="BK688" s="66"/>
      <c r="BL688"/>
      <c r="BM688"/>
      <c r="BN688"/>
      <c r="BO688"/>
      <c r="BQ688" s="66"/>
      <c r="BR688"/>
      <c r="BS688"/>
      <c r="BT688"/>
      <c r="BU688"/>
    </row>
    <row r="689" spans="39:73" x14ac:dyDescent="0.25">
      <c r="AM689" s="66"/>
      <c r="AN689"/>
      <c r="AO689"/>
      <c r="AP689"/>
      <c r="AQ689"/>
      <c r="AS689" s="66"/>
      <c r="AT689"/>
      <c r="AU689"/>
      <c r="AV689"/>
      <c r="AW689"/>
      <c r="BK689" s="66"/>
      <c r="BL689"/>
      <c r="BM689"/>
      <c r="BN689"/>
      <c r="BO689"/>
      <c r="BQ689" s="66"/>
      <c r="BR689"/>
      <c r="BS689"/>
      <c r="BT689"/>
      <c r="BU689"/>
    </row>
    <row r="690" spans="39:73" x14ac:dyDescent="0.25">
      <c r="AM690" s="66"/>
      <c r="AN690"/>
      <c r="AO690"/>
      <c r="AP690"/>
      <c r="AQ690"/>
      <c r="AS690" s="66"/>
      <c r="AT690"/>
      <c r="AU690"/>
      <c r="AV690"/>
      <c r="AW690"/>
      <c r="BK690" s="66"/>
      <c r="BL690"/>
      <c r="BM690"/>
      <c r="BN690"/>
      <c r="BO690"/>
      <c r="BQ690" s="66"/>
      <c r="BR690"/>
      <c r="BS690"/>
      <c r="BT690"/>
      <c r="BU690"/>
    </row>
    <row r="691" spans="39:73" x14ac:dyDescent="0.25">
      <c r="AM691" s="66"/>
      <c r="AN691"/>
      <c r="AO691"/>
      <c r="AP691"/>
      <c r="AQ691"/>
      <c r="AS691" s="66"/>
      <c r="AT691"/>
      <c r="AU691"/>
      <c r="AV691"/>
      <c r="AW691"/>
      <c r="BK691" s="66"/>
      <c r="BL691"/>
      <c r="BM691"/>
      <c r="BN691"/>
      <c r="BO691"/>
      <c r="BQ691" s="66"/>
      <c r="BR691"/>
      <c r="BS691"/>
      <c r="BT691"/>
      <c r="BU691"/>
    </row>
    <row r="692" spans="39:73" x14ac:dyDescent="0.25">
      <c r="AM692" s="66"/>
      <c r="AN692"/>
      <c r="AO692"/>
      <c r="AP692"/>
      <c r="AQ692"/>
      <c r="AS692" s="66"/>
      <c r="AT692"/>
      <c r="AU692"/>
      <c r="AV692"/>
      <c r="AW692"/>
      <c r="BK692" s="66"/>
      <c r="BL692"/>
      <c r="BM692"/>
      <c r="BN692"/>
      <c r="BO692"/>
      <c r="BQ692" s="66"/>
      <c r="BR692"/>
      <c r="BS692"/>
      <c r="BT692"/>
      <c r="BU692"/>
    </row>
    <row r="693" spans="39:73" x14ac:dyDescent="0.25">
      <c r="AM693" s="66"/>
      <c r="AN693"/>
      <c r="AO693"/>
      <c r="AP693"/>
      <c r="AQ693"/>
      <c r="AS693" s="66"/>
      <c r="AT693"/>
      <c r="AU693"/>
      <c r="AV693"/>
      <c r="AW693"/>
      <c r="BK693" s="66"/>
      <c r="BL693"/>
      <c r="BM693"/>
      <c r="BN693"/>
      <c r="BO693"/>
      <c r="BQ693" s="66"/>
      <c r="BR693"/>
      <c r="BS693"/>
      <c r="BT693"/>
      <c r="BU693"/>
    </row>
    <row r="694" spans="39:73" x14ac:dyDescent="0.25">
      <c r="AM694" s="66"/>
      <c r="AN694"/>
      <c r="AO694"/>
      <c r="AP694"/>
      <c r="AQ694"/>
      <c r="AS694" s="66"/>
      <c r="AT694"/>
      <c r="AU694"/>
      <c r="AV694"/>
      <c r="AW694"/>
      <c r="BK694" s="66"/>
      <c r="BL694"/>
      <c r="BM694"/>
      <c r="BN694"/>
      <c r="BO694"/>
      <c r="BQ694" s="66"/>
      <c r="BR694"/>
      <c r="BS694"/>
      <c r="BT694"/>
      <c r="BU694"/>
    </row>
    <row r="695" spans="39:73" x14ac:dyDescent="0.25">
      <c r="AM695" s="66"/>
      <c r="AN695"/>
      <c r="AO695"/>
      <c r="AP695"/>
      <c r="AQ695"/>
      <c r="AS695" s="66"/>
      <c r="AT695"/>
      <c r="AU695"/>
      <c r="AV695"/>
      <c r="AW695"/>
      <c r="BK695" s="66"/>
      <c r="BL695"/>
      <c r="BM695"/>
      <c r="BN695"/>
      <c r="BO695"/>
      <c r="BQ695" s="66"/>
      <c r="BR695"/>
      <c r="BS695"/>
      <c r="BT695"/>
      <c r="BU695"/>
    </row>
    <row r="696" spans="39:73" x14ac:dyDescent="0.25">
      <c r="AM696" s="66"/>
      <c r="AN696"/>
      <c r="AO696"/>
      <c r="AP696"/>
      <c r="AQ696"/>
      <c r="AS696" s="66"/>
      <c r="AT696"/>
      <c r="AU696"/>
      <c r="AV696"/>
      <c r="AW696"/>
      <c r="BK696" s="66"/>
      <c r="BL696"/>
      <c r="BM696"/>
      <c r="BN696"/>
      <c r="BO696"/>
      <c r="BQ696" s="66"/>
      <c r="BR696"/>
      <c r="BS696"/>
      <c r="BT696"/>
      <c r="BU696"/>
    </row>
    <row r="697" spans="39:73" x14ac:dyDescent="0.25">
      <c r="AM697" s="66"/>
      <c r="AN697"/>
      <c r="AO697"/>
      <c r="AP697"/>
      <c r="AQ697"/>
      <c r="AS697" s="66"/>
      <c r="AT697"/>
      <c r="AU697"/>
      <c r="AV697"/>
      <c r="AW697"/>
      <c r="BK697" s="66"/>
      <c r="BL697"/>
      <c r="BM697"/>
      <c r="BN697"/>
      <c r="BO697"/>
      <c r="BQ697" s="66"/>
      <c r="BR697"/>
      <c r="BS697"/>
      <c r="BT697"/>
      <c r="BU697"/>
    </row>
    <row r="698" spans="39:73" x14ac:dyDescent="0.25">
      <c r="AM698" s="66"/>
      <c r="AN698"/>
      <c r="AO698"/>
      <c r="AP698"/>
      <c r="AQ698"/>
      <c r="AS698" s="66"/>
      <c r="AT698"/>
      <c r="AU698"/>
      <c r="AV698"/>
      <c r="AW698"/>
      <c r="BK698" s="66"/>
      <c r="BL698"/>
      <c r="BM698"/>
      <c r="BN698"/>
      <c r="BO698"/>
      <c r="BQ698" s="66"/>
      <c r="BR698"/>
      <c r="BS698"/>
      <c r="BT698"/>
      <c r="BU698"/>
    </row>
    <row r="699" spans="39:73" x14ac:dyDescent="0.25">
      <c r="AM699" s="66"/>
      <c r="AN699"/>
      <c r="AO699"/>
      <c r="AP699"/>
      <c r="AQ699"/>
      <c r="AS699" s="66"/>
      <c r="AT699"/>
      <c r="AU699"/>
      <c r="AV699"/>
      <c r="AW699"/>
      <c r="BK699" s="66"/>
      <c r="BL699"/>
      <c r="BM699"/>
      <c r="BN699"/>
      <c r="BO699"/>
      <c r="BQ699" s="66"/>
      <c r="BR699"/>
      <c r="BS699"/>
      <c r="BT699"/>
      <c r="BU699"/>
    </row>
    <row r="700" spans="39:73" x14ac:dyDescent="0.25">
      <c r="AM700" s="66"/>
      <c r="AN700"/>
      <c r="AO700"/>
      <c r="AP700"/>
      <c r="AQ700"/>
      <c r="AS700" s="66"/>
      <c r="AT700"/>
      <c r="AU700"/>
      <c r="AV700"/>
      <c r="AW700"/>
      <c r="BK700" s="66"/>
      <c r="BL700"/>
      <c r="BM700"/>
      <c r="BN700"/>
      <c r="BO700"/>
      <c r="BQ700" s="66"/>
      <c r="BR700"/>
      <c r="BS700"/>
      <c r="BT700"/>
      <c r="BU700"/>
    </row>
    <row r="701" spans="39:73" x14ac:dyDescent="0.25">
      <c r="AM701" s="66"/>
      <c r="AN701"/>
      <c r="AO701"/>
      <c r="AP701"/>
      <c r="AQ701"/>
      <c r="AS701" s="66"/>
      <c r="AT701"/>
      <c r="AU701"/>
      <c r="AV701"/>
      <c r="AW701"/>
      <c r="BK701" s="66"/>
      <c r="BL701"/>
      <c r="BM701"/>
      <c r="BN701"/>
      <c r="BO701"/>
      <c r="BQ701" s="66"/>
      <c r="BR701"/>
      <c r="BS701"/>
      <c r="BT701"/>
      <c r="BU701"/>
    </row>
    <row r="702" spans="39:73" x14ac:dyDescent="0.25">
      <c r="AM702" s="66"/>
      <c r="AN702"/>
      <c r="AO702"/>
      <c r="AP702"/>
      <c r="AQ702"/>
      <c r="AS702" s="66"/>
      <c r="AT702"/>
      <c r="AU702"/>
      <c r="AV702"/>
      <c r="AW702"/>
      <c r="BK702" s="66"/>
      <c r="BL702"/>
      <c r="BM702"/>
      <c r="BN702"/>
      <c r="BO702"/>
      <c r="BQ702" s="66"/>
      <c r="BR702"/>
      <c r="BS702"/>
      <c r="BT702"/>
      <c r="BU702"/>
    </row>
    <row r="703" spans="39:73" x14ac:dyDescent="0.25">
      <c r="AM703" s="66"/>
      <c r="AN703"/>
      <c r="AO703"/>
      <c r="AP703"/>
      <c r="AQ703"/>
      <c r="AS703" s="66"/>
      <c r="AT703"/>
      <c r="AU703"/>
      <c r="AV703"/>
      <c r="AW703"/>
      <c r="BK703" s="66"/>
      <c r="BL703"/>
      <c r="BM703"/>
      <c r="BN703"/>
      <c r="BO703"/>
      <c r="BQ703" s="66"/>
      <c r="BR703"/>
      <c r="BS703"/>
      <c r="BT703"/>
      <c r="BU703"/>
    </row>
    <row r="704" spans="39:73" x14ac:dyDescent="0.25">
      <c r="AM704" s="66"/>
      <c r="AN704"/>
      <c r="AO704"/>
      <c r="AP704"/>
      <c r="AQ704"/>
      <c r="AS704" s="66"/>
      <c r="AT704"/>
      <c r="AU704"/>
      <c r="AV704"/>
      <c r="AW704"/>
      <c r="BK704" s="66"/>
      <c r="BL704"/>
      <c r="BM704"/>
      <c r="BN704"/>
      <c r="BO704"/>
      <c r="BQ704" s="66"/>
      <c r="BR704"/>
      <c r="BS704"/>
      <c r="BT704"/>
      <c r="BU704"/>
    </row>
    <row r="705" spans="39:73" x14ac:dyDescent="0.25">
      <c r="AM705" s="66"/>
      <c r="AN705"/>
      <c r="AO705"/>
      <c r="AP705"/>
      <c r="AQ705"/>
      <c r="AS705" s="66"/>
      <c r="AT705"/>
      <c r="AU705"/>
      <c r="AV705"/>
      <c r="AW705"/>
      <c r="BK705" s="66"/>
      <c r="BL705"/>
      <c r="BM705"/>
      <c r="BN705"/>
      <c r="BO705"/>
      <c r="BQ705" s="66"/>
      <c r="BR705"/>
      <c r="BS705"/>
      <c r="BT705"/>
      <c r="BU705"/>
    </row>
    <row r="706" spans="39:73" x14ac:dyDescent="0.25">
      <c r="AM706" s="66"/>
      <c r="AN706"/>
      <c r="AO706"/>
      <c r="AP706"/>
      <c r="AQ706"/>
      <c r="AS706" s="66"/>
      <c r="AT706"/>
      <c r="AU706"/>
      <c r="AV706"/>
      <c r="AW706"/>
      <c r="BK706" s="66"/>
      <c r="BL706"/>
      <c r="BM706"/>
      <c r="BN706"/>
      <c r="BO706"/>
      <c r="BQ706" s="66"/>
      <c r="BR706"/>
      <c r="BS706"/>
      <c r="BT706"/>
      <c r="BU706"/>
    </row>
    <row r="707" spans="39:73" x14ac:dyDescent="0.25">
      <c r="AM707" s="66"/>
      <c r="AN707"/>
      <c r="AO707"/>
      <c r="AP707"/>
      <c r="AQ707"/>
      <c r="AS707" s="66"/>
      <c r="AT707"/>
      <c r="AU707"/>
      <c r="AV707"/>
      <c r="AW707"/>
      <c r="BK707" s="66"/>
      <c r="BL707"/>
      <c r="BM707"/>
      <c r="BN707"/>
      <c r="BO707"/>
      <c r="BQ707" s="66"/>
      <c r="BR707"/>
      <c r="BS707"/>
      <c r="BT707"/>
      <c r="BU707"/>
    </row>
    <row r="708" spans="39:73" x14ac:dyDescent="0.25">
      <c r="AM708" s="66"/>
      <c r="AN708"/>
      <c r="AO708"/>
      <c r="AP708"/>
      <c r="AQ708"/>
      <c r="AS708" s="66"/>
      <c r="AT708"/>
      <c r="AU708"/>
      <c r="AV708"/>
      <c r="AW708"/>
      <c r="BK708" s="66"/>
      <c r="BL708"/>
      <c r="BM708"/>
      <c r="BN708"/>
      <c r="BO708"/>
      <c r="BQ708" s="66"/>
      <c r="BR708"/>
      <c r="BS708"/>
      <c r="BT708"/>
      <c r="BU708"/>
    </row>
    <row r="709" spans="39:73" x14ac:dyDescent="0.25">
      <c r="AM709" s="66"/>
      <c r="AN709"/>
      <c r="AO709"/>
      <c r="AP709"/>
      <c r="AQ709"/>
      <c r="AS709" s="66"/>
      <c r="AT709"/>
      <c r="AU709"/>
      <c r="AV709"/>
      <c r="AW709"/>
      <c r="BK709" s="66"/>
      <c r="BL709"/>
      <c r="BM709"/>
      <c r="BN709"/>
      <c r="BO709"/>
      <c r="BQ709" s="66"/>
      <c r="BR709"/>
      <c r="BS709"/>
      <c r="BT709"/>
      <c r="BU709"/>
    </row>
    <row r="710" spans="39:73" x14ac:dyDescent="0.25">
      <c r="AM710" s="66"/>
      <c r="AN710"/>
      <c r="AO710"/>
      <c r="AP710"/>
      <c r="AQ710"/>
      <c r="AS710" s="66"/>
      <c r="AT710"/>
      <c r="AU710"/>
      <c r="AV710"/>
      <c r="AW710"/>
      <c r="BK710" s="66"/>
      <c r="BL710"/>
      <c r="BM710"/>
      <c r="BN710"/>
      <c r="BO710"/>
      <c r="BQ710" s="66"/>
      <c r="BR710"/>
      <c r="BS710"/>
      <c r="BT710"/>
      <c r="BU710"/>
    </row>
    <row r="711" spans="39:73" x14ac:dyDescent="0.25">
      <c r="AM711" s="66"/>
      <c r="AN711"/>
      <c r="AO711"/>
      <c r="AP711"/>
      <c r="AQ711"/>
      <c r="AS711" s="66"/>
      <c r="AT711"/>
      <c r="AU711"/>
      <c r="AV711"/>
      <c r="AW711"/>
      <c r="BK711" s="66"/>
      <c r="BL711"/>
      <c r="BM711"/>
      <c r="BN711"/>
      <c r="BO711"/>
      <c r="BQ711" s="66"/>
      <c r="BR711"/>
      <c r="BS711"/>
      <c r="BT711"/>
      <c r="BU711"/>
    </row>
    <row r="712" spans="39:73" x14ac:dyDescent="0.25">
      <c r="AM712" s="66"/>
      <c r="AN712"/>
      <c r="AO712"/>
      <c r="AP712"/>
      <c r="AQ712"/>
      <c r="AS712" s="66"/>
      <c r="AT712"/>
      <c r="AU712"/>
      <c r="AV712"/>
      <c r="AW712"/>
      <c r="BK712" s="66"/>
      <c r="BL712"/>
      <c r="BM712"/>
      <c r="BN712"/>
      <c r="BO712"/>
      <c r="BQ712" s="66"/>
      <c r="BR712"/>
      <c r="BS712"/>
      <c r="BT712"/>
      <c r="BU712"/>
    </row>
    <row r="713" spans="39:73" x14ac:dyDescent="0.25">
      <c r="AM713" s="66"/>
      <c r="AN713"/>
      <c r="AO713"/>
      <c r="AP713"/>
      <c r="AQ713"/>
      <c r="AS713" s="66"/>
      <c r="AT713"/>
      <c r="AU713"/>
      <c r="AV713"/>
      <c r="AW713"/>
      <c r="BK713" s="66"/>
      <c r="BL713"/>
      <c r="BM713"/>
      <c r="BN713"/>
      <c r="BO713"/>
      <c r="BQ713" s="66"/>
      <c r="BR713"/>
      <c r="BS713"/>
      <c r="BT713"/>
      <c r="BU713"/>
    </row>
    <row r="714" spans="39:73" x14ac:dyDescent="0.25">
      <c r="AM714" s="66"/>
      <c r="AN714"/>
      <c r="AO714"/>
      <c r="AP714"/>
      <c r="AQ714"/>
      <c r="AS714" s="66"/>
      <c r="AT714"/>
      <c r="AU714"/>
      <c r="AV714"/>
      <c r="AW714"/>
      <c r="BK714" s="66"/>
      <c r="BL714"/>
      <c r="BM714"/>
      <c r="BN714"/>
      <c r="BO714"/>
      <c r="BQ714" s="66"/>
      <c r="BR714"/>
      <c r="BS714"/>
      <c r="BT714"/>
      <c r="BU714"/>
    </row>
    <row r="715" spans="39:73" x14ac:dyDescent="0.25">
      <c r="AM715" s="66"/>
      <c r="AN715"/>
      <c r="AO715"/>
      <c r="AP715"/>
      <c r="AQ715"/>
      <c r="AS715" s="66"/>
      <c r="AT715"/>
      <c r="AU715"/>
      <c r="AV715"/>
      <c r="AW715"/>
      <c r="BK715" s="66"/>
      <c r="BL715"/>
      <c r="BM715"/>
      <c r="BN715"/>
      <c r="BO715"/>
      <c r="BQ715" s="66"/>
      <c r="BR715"/>
      <c r="BS715"/>
      <c r="BT715"/>
      <c r="BU715"/>
    </row>
    <row r="716" spans="39:73" x14ac:dyDescent="0.25">
      <c r="AM716" s="66"/>
      <c r="AN716"/>
      <c r="AO716"/>
      <c r="AP716"/>
      <c r="AQ716"/>
      <c r="AS716" s="66"/>
      <c r="AT716"/>
      <c r="AU716"/>
      <c r="AV716"/>
      <c r="AW716"/>
      <c r="BK716" s="66"/>
      <c r="BL716"/>
      <c r="BM716"/>
      <c r="BN716"/>
      <c r="BO716"/>
      <c r="BQ716" s="66"/>
      <c r="BR716"/>
      <c r="BS716"/>
      <c r="BT716"/>
      <c r="BU716"/>
    </row>
    <row r="717" spans="39:73" x14ac:dyDescent="0.25">
      <c r="AM717" s="66"/>
      <c r="AN717"/>
      <c r="AO717"/>
      <c r="AP717"/>
      <c r="AQ717"/>
      <c r="AS717" s="66"/>
      <c r="AT717"/>
      <c r="AU717"/>
      <c r="AV717"/>
      <c r="AW717"/>
      <c r="BK717" s="66"/>
      <c r="BL717"/>
      <c r="BM717"/>
      <c r="BN717"/>
      <c r="BO717"/>
      <c r="BQ717" s="66"/>
      <c r="BR717"/>
      <c r="BS717"/>
      <c r="BT717"/>
      <c r="BU717"/>
    </row>
    <row r="718" spans="39:73" x14ac:dyDescent="0.25">
      <c r="AM718" s="66"/>
      <c r="AN718"/>
      <c r="AO718"/>
      <c r="AP718"/>
      <c r="AQ718"/>
      <c r="AS718" s="66"/>
      <c r="AT718"/>
      <c r="AU718"/>
      <c r="AV718"/>
      <c r="AW718"/>
      <c r="BK718" s="66"/>
      <c r="BL718"/>
      <c r="BM718"/>
      <c r="BN718"/>
      <c r="BO718"/>
      <c r="BQ718" s="66"/>
      <c r="BR718"/>
      <c r="BS718"/>
      <c r="BT718"/>
      <c r="BU718"/>
    </row>
    <row r="719" spans="39:73" x14ac:dyDescent="0.25">
      <c r="AM719" s="66"/>
      <c r="AN719"/>
      <c r="AO719"/>
      <c r="AP719"/>
      <c r="AQ719"/>
      <c r="AS719" s="66"/>
      <c r="AT719"/>
      <c r="AU719"/>
      <c r="AV719"/>
      <c r="AW719"/>
      <c r="BK719" s="66"/>
      <c r="BL719"/>
      <c r="BM719"/>
      <c r="BN719"/>
      <c r="BO719"/>
      <c r="BQ719" s="66"/>
      <c r="BR719"/>
      <c r="BS719"/>
      <c r="BT719"/>
      <c r="BU719"/>
    </row>
    <row r="720" spans="39:73" x14ac:dyDescent="0.25">
      <c r="AM720" s="66"/>
      <c r="AN720"/>
      <c r="AO720"/>
      <c r="AP720"/>
      <c r="AQ720"/>
      <c r="AS720" s="66"/>
      <c r="AT720"/>
      <c r="AU720"/>
      <c r="AV720"/>
      <c r="AW720"/>
      <c r="BK720" s="66"/>
      <c r="BL720"/>
      <c r="BM720"/>
      <c r="BN720"/>
      <c r="BO720"/>
      <c r="BQ720" s="66"/>
      <c r="BR720"/>
      <c r="BS720"/>
      <c r="BT720"/>
      <c r="BU720"/>
    </row>
    <row r="721" spans="39:73" x14ac:dyDescent="0.25">
      <c r="AM721" s="66"/>
      <c r="AN721"/>
      <c r="AO721"/>
      <c r="AP721"/>
      <c r="AQ721"/>
      <c r="AS721" s="66"/>
      <c r="AT721"/>
      <c r="AU721"/>
      <c r="AV721"/>
      <c r="AW721"/>
      <c r="BK721" s="66"/>
      <c r="BL721"/>
      <c r="BM721"/>
      <c r="BN721"/>
      <c r="BO721"/>
      <c r="BQ721" s="66"/>
      <c r="BR721"/>
      <c r="BS721"/>
      <c r="BT721"/>
      <c r="BU721"/>
    </row>
    <row r="722" spans="39:73" x14ac:dyDescent="0.25">
      <c r="AM722" s="66"/>
      <c r="AN722"/>
      <c r="AO722"/>
      <c r="AP722"/>
      <c r="AQ722"/>
      <c r="AS722" s="66"/>
      <c r="AT722"/>
      <c r="AU722"/>
      <c r="AV722"/>
      <c r="AW722"/>
      <c r="BK722" s="66"/>
      <c r="BL722"/>
      <c r="BM722"/>
      <c r="BN722"/>
      <c r="BO722"/>
      <c r="BQ722" s="66"/>
      <c r="BR722"/>
      <c r="BS722"/>
      <c r="BT722"/>
      <c r="BU722"/>
    </row>
    <row r="723" spans="39:73" x14ac:dyDescent="0.25">
      <c r="AM723" s="66"/>
      <c r="AN723"/>
      <c r="AO723"/>
      <c r="AP723"/>
      <c r="AQ723"/>
      <c r="AS723" s="66"/>
      <c r="AT723"/>
      <c r="AU723"/>
      <c r="AV723"/>
      <c r="AW723"/>
      <c r="BK723" s="66"/>
      <c r="BL723"/>
      <c r="BM723"/>
      <c r="BN723"/>
      <c r="BO723"/>
      <c r="BQ723" s="66"/>
      <c r="BR723"/>
      <c r="BS723"/>
      <c r="BT723"/>
      <c r="BU723"/>
    </row>
    <row r="724" spans="39:73" x14ac:dyDescent="0.25">
      <c r="AM724" s="66"/>
      <c r="AN724"/>
      <c r="AO724"/>
      <c r="AP724"/>
      <c r="AQ724"/>
      <c r="AS724" s="66"/>
      <c r="AT724"/>
      <c r="AU724"/>
      <c r="AV724"/>
      <c r="AW724"/>
      <c r="BK724" s="66"/>
      <c r="BL724"/>
      <c r="BM724"/>
      <c r="BN724"/>
      <c r="BO724"/>
      <c r="BQ724" s="66"/>
      <c r="BR724"/>
      <c r="BS724"/>
      <c r="BT724"/>
      <c r="BU724"/>
    </row>
    <row r="725" spans="39:73" x14ac:dyDescent="0.25">
      <c r="AM725" s="66"/>
      <c r="AN725"/>
      <c r="AO725"/>
      <c r="AP725"/>
      <c r="AQ725"/>
      <c r="AS725" s="66"/>
      <c r="AT725"/>
      <c r="AU725"/>
      <c r="AV725"/>
      <c r="AW725"/>
      <c r="BK725" s="66"/>
      <c r="BL725"/>
      <c r="BM725"/>
      <c r="BN725"/>
      <c r="BO725"/>
      <c r="BQ725" s="66"/>
      <c r="BR725"/>
      <c r="BS725"/>
      <c r="BT725"/>
      <c r="BU725"/>
    </row>
    <row r="726" spans="39:73" x14ac:dyDescent="0.25">
      <c r="AM726" s="66"/>
      <c r="AN726"/>
      <c r="AO726"/>
      <c r="AP726"/>
      <c r="AQ726"/>
      <c r="AS726" s="66"/>
      <c r="AT726"/>
      <c r="AU726"/>
      <c r="AV726"/>
      <c r="AW726"/>
      <c r="BK726" s="66"/>
      <c r="BL726"/>
      <c r="BM726"/>
      <c r="BN726"/>
      <c r="BO726"/>
      <c r="BQ726" s="66"/>
      <c r="BR726"/>
      <c r="BS726"/>
      <c r="BT726"/>
      <c r="BU726"/>
    </row>
    <row r="727" spans="39:73" x14ac:dyDescent="0.25">
      <c r="AM727" s="66"/>
      <c r="AN727"/>
      <c r="AO727"/>
      <c r="AP727"/>
      <c r="AQ727"/>
      <c r="AS727" s="66"/>
      <c r="AT727"/>
      <c r="AU727"/>
      <c r="AV727"/>
      <c r="AW727"/>
      <c r="BK727" s="66"/>
      <c r="BL727"/>
      <c r="BM727"/>
      <c r="BN727"/>
      <c r="BO727"/>
      <c r="BQ727" s="66"/>
      <c r="BR727"/>
      <c r="BS727"/>
      <c r="BT727"/>
      <c r="BU727"/>
    </row>
    <row r="728" spans="39:73" x14ac:dyDescent="0.25">
      <c r="AM728" s="66"/>
      <c r="AN728"/>
      <c r="AO728"/>
      <c r="AP728"/>
      <c r="AQ728"/>
      <c r="AS728" s="66"/>
      <c r="AT728"/>
      <c r="AU728"/>
      <c r="AV728"/>
      <c r="AW728"/>
      <c r="BK728" s="66"/>
      <c r="BL728"/>
      <c r="BM728"/>
      <c r="BN728"/>
      <c r="BO728"/>
      <c r="BQ728" s="66"/>
      <c r="BR728"/>
      <c r="BS728"/>
      <c r="BT728"/>
      <c r="BU728"/>
    </row>
    <row r="729" spans="39:73" x14ac:dyDescent="0.25">
      <c r="AM729" s="66"/>
      <c r="AN729"/>
      <c r="AO729"/>
      <c r="AP729"/>
      <c r="AQ729"/>
      <c r="AS729" s="66"/>
      <c r="AT729"/>
      <c r="AU729"/>
      <c r="AV729"/>
      <c r="AW729"/>
      <c r="BK729" s="66"/>
      <c r="BL729"/>
      <c r="BM729"/>
      <c r="BN729"/>
      <c r="BO729"/>
      <c r="BQ729" s="66"/>
      <c r="BR729"/>
      <c r="BS729"/>
      <c r="BT729"/>
      <c r="BU729"/>
    </row>
    <row r="730" spans="39:73" x14ac:dyDescent="0.25">
      <c r="AM730" s="66"/>
      <c r="AN730"/>
      <c r="AO730"/>
      <c r="AP730"/>
      <c r="AQ730"/>
      <c r="AS730" s="66"/>
      <c r="AT730"/>
      <c r="AU730"/>
      <c r="AV730"/>
      <c r="AW730"/>
      <c r="BK730" s="66"/>
      <c r="BL730"/>
      <c r="BM730"/>
      <c r="BN730"/>
      <c r="BO730"/>
      <c r="BQ730" s="66"/>
      <c r="BR730"/>
      <c r="BS730"/>
      <c r="BT730"/>
      <c r="BU730"/>
    </row>
    <row r="731" spans="39:73" x14ac:dyDescent="0.25">
      <c r="AM731" s="66"/>
      <c r="AN731"/>
      <c r="AO731"/>
      <c r="AP731"/>
      <c r="AQ731"/>
      <c r="AS731" s="66"/>
      <c r="AT731"/>
      <c r="AU731"/>
      <c r="AV731"/>
      <c r="AW731"/>
      <c r="BK731" s="66"/>
      <c r="BL731"/>
      <c r="BM731"/>
      <c r="BN731"/>
      <c r="BO731"/>
      <c r="BQ731" s="66"/>
      <c r="BR731"/>
      <c r="BS731"/>
      <c r="BT731"/>
      <c r="BU731"/>
    </row>
    <row r="732" spans="39:73" x14ac:dyDescent="0.25">
      <c r="AM732" s="66"/>
      <c r="AN732"/>
      <c r="AO732"/>
      <c r="AP732"/>
      <c r="AQ732"/>
      <c r="AS732" s="66"/>
      <c r="AT732"/>
      <c r="AU732"/>
      <c r="AV732"/>
      <c r="AW732"/>
      <c r="BK732" s="66"/>
      <c r="BL732"/>
      <c r="BM732"/>
      <c r="BN732"/>
      <c r="BO732"/>
      <c r="BQ732" s="66"/>
      <c r="BR732"/>
      <c r="BS732"/>
      <c r="BT732"/>
      <c r="BU732"/>
    </row>
    <row r="733" spans="39:73" x14ac:dyDescent="0.25">
      <c r="AM733" s="66"/>
      <c r="AN733"/>
      <c r="AO733"/>
      <c r="AP733"/>
      <c r="AQ733"/>
      <c r="AS733" s="66"/>
      <c r="AT733"/>
      <c r="AU733"/>
      <c r="AV733"/>
      <c r="AW733"/>
      <c r="BK733" s="66"/>
      <c r="BL733"/>
      <c r="BM733"/>
      <c r="BN733"/>
      <c r="BO733"/>
      <c r="BQ733" s="66"/>
      <c r="BR733"/>
      <c r="BS733"/>
      <c r="BT733"/>
      <c r="BU733"/>
    </row>
    <row r="734" spans="39:73" x14ac:dyDescent="0.25">
      <c r="AM734" s="66"/>
      <c r="AN734"/>
      <c r="AO734"/>
      <c r="AP734"/>
      <c r="AQ734"/>
      <c r="AS734" s="66"/>
      <c r="AT734"/>
      <c r="AU734"/>
      <c r="AV734"/>
      <c r="AW734"/>
      <c r="BK734" s="66"/>
      <c r="BL734"/>
      <c r="BM734"/>
      <c r="BN734"/>
      <c r="BO734"/>
      <c r="BQ734" s="66"/>
      <c r="BR734"/>
      <c r="BS734"/>
      <c r="BT734"/>
      <c r="BU734"/>
    </row>
    <row r="735" spans="39:73" x14ac:dyDescent="0.25">
      <c r="AM735" s="66"/>
      <c r="AN735"/>
      <c r="AO735"/>
      <c r="AP735"/>
      <c r="AQ735"/>
      <c r="AS735" s="66"/>
      <c r="AT735"/>
      <c r="AU735"/>
      <c r="AV735"/>
      <c r="AW735"/>
      <c r="BK735" s="66"/>
      <c r="BL735"/>
      <c r="BM735"/>
      <c r="BN735"/>
      <c r="BO735"/>
      <c r="BQ735" s="66"/>
      <c r="BR735"/>
      <c r="BS735"/>
      <c r="BT735"/>
      <c r="BU735"/>
    </row>
    <row r="736" spans="39:73" x14ac:dyDescent="0.25">
      <c r="AM736" s="66"/>
      <c r="AN736"/>
      <c r="AO736"/>
      <c r="AP736"/>
      <c r="AQ736"/>
      <c r="AS736" s="66"/>
      <c r="AT736"/>
      <c r="AU736"/>
      <c r="AV736"/>
      <c r="AW736"/>
      <c r="BK736" s="66"/>
      <c r="BL736"/>
      <c r="BM736"/>
      <c r="BN736"/>
      <c r="BO736"/>
      <c r="BQ736" s="66"/>
      <c r="BR736"/>
      <c r="BS736"/>
      <c r="BT736"/>
      <c r="BU736"/>
    </row>
    <row r="737" spans="39:73" x14ac:dyDescent="0.25">
      <c r="AM737" s="66"/>
      <c r="AN737"/>
      <c r="AO737"/>
      <c r="AP737"/>
      <c r="AQ737"/>
      <c r="AS737" s="66"/>
      <c r="AT737"/>
      <c r="AU737"/>
      <c r="AV737"/>
      <c r="AW737"/>
      <c r="BK737" s="66"/>
      <c r="BL737"/>
      <c r="BM737"/>
      <c r="BN737"/>
      <c r="BO737"/>
      <c r="BQ737" s="66"/>
      <c r="BR737"/>
      <c r="BS737"/>
      <c r="BT737"/>
      <c r="BU737"/>
    </row>
    <row r="738" spans="39:73" x14ac:dyDescent="0.25">
      <c r="AM738" s="66"/>
      <c r="AN738"/>
      <c r="AO738"/>
      <c r="AP738"/>
      <c r="AQ738"/>
      <c r="AS738" s="66"/>
      <c r="AT738"/>
      <c r="AU738"/>
      <c r="AV738"/>
      <c r="AW738"/>
      <c r="BK738" s="66"/>
      <c r="BL738"/>
      <c r="BM738"/>
      <c r="BN738"/>
      <c r="BO738"/>
      <c r="BQ738" s="66"/>
      <c r="BR738"/>
      <c r="BS738"/>
      <c r="BT738"/>
      <c r="BU738"/>
    </row>
    <row r="739" spans="39:73" x14ac:dyDescent="0.25">
      <c r="AM739" s="66"/>
      <c r="AN739"/>
      <c r="AO739"/>
      <c r="AP739"/>
      <c r="AQ739"/>
      <c r="AS739" s="66"/>
      <c r="AT739"/>
      <c r="AU739"/>
      <c r="AV739"/>
      <c r="AW739"/>
      <c r="BK739" s="66"/>
      <c r="BL739"/>
      <c r="BM739"/>
      <c r="BN739"/>
      <c r="BO739"/>
      <c r="BQ739" s="66"/>
      <c r="BR739"/>
      <c r="BS739"/>
      <c r="BT739"/>
      <c r="BU739"/>
    </row>
    <row r="740" spans="39:73" x14ac:dyDescent="0.25">
      <c r="AM740" s="66"/>
      <c r="AN740"/>
      <c r="AO740"/>
      <c r="AP740"/>
      <c r="AQ740"/>
      <c r="AS740" s="66"/>
      <c r="AT740"/>
      <c r="AU740"/>
      <c r="AV740"/>
      <c r="AW740"/>
      <c r="BK740" s="66"/>
      <c r="BL740"/>
      <c r="BM740"/>
      <c r="BN740"/>
      <c r="BO740"/>
      <c r="BQ740" s="66"/>
      <c r="BR740"/>
      <c r="BS740"/>
      <c r="BT740"/>
      <c r="BU740"/>
    </row>
    <row r="741" spans="39:73" x14ac:dyDescent="0.25">
      <c r="AM741" s="66"/>
      <c r="AN741"/>
      <c r="AO741"/>
      <c r="AP741"/>
      <c r="AQ741"/>
      <c r="AS741" s="66"/>
      <c r="AT741"/>
      <c r="AU741"/>
      <c r="AV741"/>
      <c r="AW741"/>
      <c r="BK741" s="66"/>
      <c r="BL741"/>
      <c r="BM741"/>
      <c r="BN741"/>
      <c r="BO741"/>
      <c r="BQ741" s="66"/>
      <c r="BR741"/>
      <c r="BS741"/>
      <c r="BT741"/>
      <c r="BU741"/>
    </row>
    <row r="742" spans="39:73" x14ac:dyDescent="0.25">
      <c r="AM742" s="66"/>
      <c r="AN742"/>
      <c r="AO742"/>
      <c r="AP742"/>
      <c r="AQ742"/>
      <c r="AS742" s="66"/>
      <c r="AT742"/>
      <c r="AU742"/>
      <c r="AV742"/>
      <c r="AW742"/>
      <c r="BK742" s="66"/>
      <c r="BL742"/>
      <c r="BM742"/>
      <c r="BN742"/>
      <c r="BO742"/>
      <c r="BQ742" s="66"/>
      <c r="BR742"/>
      <c r="BS742"/>
      <c r="BT742"/>
      <c r="BU742"/>
    </row>
    <row r="743" spans="39:73" x14ac:dyDescent="0.25">
      <c r="AM743" s="66"/>
      <c r="AN743"/>
      <c r="AO743"/>
      <c r="AP743"/>
      <c r="AQ743"/>
      <c r="AS743" s="66"/>
      <c r="AT743"/>
      <c r="AU743"/>
      <c r="AV743"/>
      <c r="AW743"/>
      <c r="BK743" s="66"/>
      <c r="BL743"/>
      <c r="BM743"/>
      <c r="BN743"/>
      <c r="BO743"/>
      <c r="BQ743" s="66"/>
      <c r="BR743"/>
      <c r="BS743"/>
      <c r="BT743"/>
      <c r="BU743"/>
    </row>
    <row r="744" spans="39:73" x14ac:dyDescent="0.25">
      <c r="AM744" s="66"/>
      <c r="AN744"/>
      <c r="AO744"/>
      <c r="AP744"/>
      <c r="AQ744"/>
      <c r="AS744" s="66"/>
      <c r="AT744"/>
      <c r="AU744"/>
      <c r="AV744"/>
      <c r="AW744"/>
      <c r="BK744" s="66"/>
      <c r="BL744"/>
      <c r="BM744"/>
      <c r="BN744"/>
      <c r="BO744"/>
      <c r="BQ744" s="66"/>
      <c r="BR744"/>
      <c r="BS744"/>
      <c r="BT744"/>
      <c r="BU744"/>
    </row>
    <row r="745" spans="39:73" x14ac:dyDescent="0.25">
      <c r="AM745" s="66"/>
      <c r="AN745"/>
      <c r="AO745"/>
      <c r="AP745"/>
      <c r="AQ745"/>
      <c r="AS745" s="66"/>
      <c r="AT745"/>
      <c r="AU745"/>
      <c r="AV745"/>
      <c r="AW745"/>
      <c r="BK745" s="66"/>
      <c r="BL745"/>
      <c r="BM745"/>
      <c r="BN745"/>
      <c r="BO745"/>
      <c r="BQ745" s="66"/>
      <c r="BR745"/>
      <c r="BS745"/>
      <c r="BT745"/>
      <c r="BU745"/>
    </row>
    <row r="746" spans="39:73" x14ac:dyDescent="0.25">
      <c r="AM746" s="66"/>
      <c r="AN746"/>
      <c r="AO746"/>
      <c r="AP746"/>
      <c r="AQ746"/>
      <c r="AS746" s="66"/>
      <c r="AT746"/>
      <c r="AU746"/>
      <c r="AV746"/>
      <c r="AW746"/>
      <c r="BK746" s="66"/>
      <c r="BL746"/>
      <c r="BM746"/>
      <c r="BN746"/>
      <c r="BO746"/>
      <c r="BQ746" s="66"/>
      <c r="BR746"/>
      <c r="BS746"/>
      <c r="BT746"/>
      <c r="BU746"/>
    </row>
    <row r="747" spans="39:73" x14ac:dyDescent="0.25">
      <c r="AM747" s="66"/>
      <c r="AN747"/>
      <c r="AO747"/>
      <c r="AP747"/>
      <c r="AQ747"/>
      <c r="AS747" s="66"/>
      <c r="AT747"/>
      <c r="AU747"/>
      <c r="AV747"/>
      <c r="AW747"/>
      <c r="BK747" s="66"/>
      <c r="BL747"/>
      <c r="BM747"/>
      <c r="BN747"/>
      <c r="BO747"/>
      <c r="BQ747" s="66"/>
      <c r="BR747"/>
      <c r="BS747"/>
      <c r="BT747"/>
      <c r="BU747"/>
    </row>
    <row r="748" spans="39:73" x14ac:dyDescent="0.25">
      <c r="AM748" s="66"/>
      <c r="AN748"/>
      <c r="AO748"/>
      <c r="AP748"/>
      <c r="AQ748"/>
      <c r="AS748" s="66"/>
      <c r="AT748"/>
      <c r="AU748"/>
      <c r="AV748"/>
      <c r="AW748"/>
      <c r="BK748" s="66"/>
      <c r="BL748"/>
      <c r="BM748"/>
      <c r="BN748"/>
      <c r="BO748"/>
      <c r="BQ748" s="66"/>
      <c r="BR748"/>
      <c r="BS748"/>
      <c r="BT748"/>
      <c r="BU748"/>
    </row>
    <row r="749" spans="39:73" x14ac:dyDescent="0.25">
      <c r="AM749" s="66"/>
      <c r="AN749"/>
      <c r="AO749"/>
      <c r="AP749"/>
      <c r="AQ749"/>
      <c r="AS749" s="66"/>
      <c r="AT749"/>
      <c r="AU749"/>
      <c r="AV749"/>
      <c r="AW749"/>
      <c r="BK749" s="66"/>
      <c r="BL749"/>
      <c r="BM749"/>
      <c r="BN749"/>
      <c r="BO749"/>
      <c r="BQ749" s="66"/>
      <c r="BR749"/>
      <c r="BS749"/>
      <c r="BT749"/>
      <c r="BU749"/>
    </row>
    <row r="750" spans="39:73" x14ac:dyDescent="0.25">
      <c r="AM750" s="66"/>
      <c r="AN750"/>
      <c r="AO750"/>
      <c r="AP750"/>
      <c r="AQ750"/>
      <c r="AS750" s="66"/>
      <c r="AT750"/>
      <c r="AU750"/>
      <c r="AV750"/>
      <c r="AW750"/>
      <c r="BK750" s="66"/>
      <c r="BL750"/>
      <c r="BM750"/>
      <c r="BN750"/>
      <c r="BO750"/>
      <c r="BQ750" s="66"/>
      <c r="BR750"/>
      <c r="BS750"/>
      <c r="BT750"/>
      <c r="BU750"/>
    </row>
    <row r="751" spans="39:73" x14ac:dyDescent="0.25">
      <c r="AM751" s="66"/>
      <c r="AN751"/>
      <c r="AO751"/>
      <c r="AP751"/>
      <c r="AQ751"/>
      <c r="AS751" s="66"/>
      <c r="AT751"/>
      <c r="AU751"/>
      <c r="AV751"/>
      <c r="AW751"/>
      <c r="BK751" s="66"/>
      <c r="BL751"/>
      <c r="BM751"/>
      <c r="BN751"/>
      <c r="BO751"/>
      <c r="BQ751" s="66"/>
      <c r="BR751"/>
      <c r="BS751"/>
      <c r="BT751"/>
      <c r="BU751"/>
    </row>
    <row r="752" spans="39:73" x14ac:dyDescent="0.25">
      <c r="AM752" s="66"/>
      <c r="AN752"/>
      <c r="AO752"/>
      <c r="AP752"/>
      <c r="AQ752"/>
      <c r="AS752" s="66"/>
      <c r="AT752"/>
      <c r="AU752"/>
      <c r="AV752"/>
      <c r="AW752"/>
      <c r="BK752" s="66"/>
      <c r="BL752"/>
      <c r="BM752"/>
      <c r="BN752"/>
      <c r="BO752"/>
      <c r="BQ752" s="66"/>
      <c r="BR752"/>
      <c r="BS752"/>
      <c r="BT752"/>
      <c r="BU752"/>
    </row>
    <row r="753" spans="39:73" x14ac:dyDescent="0.25">
      <c r="AM753" s="66"/>
      <c r="AN753"/>
      <c r="AO753"/>
      <c r="AP753"/>
      <c r="AQ753"/>
      <c r="AS753" s="66"/>
      <c r="AT753"/>
      <c r="AU753"/>
      <c r="AV753"/>
      <c r="AW753"/>
      <c r="BK753" s="66"/>
      <c r="BL753"/>
      <c r="BM753"/>
      <c r="BN753"/>
      <c r="BO753"/>
      <c r="BQ753" s="66"/>
      <c r="BR753"/>
      <c r="BS753"/>
      <c r="BT753"/>
      <c r="BU753"/>
    </row>
    <row r="754" spans="39:73" x14ac:dyDescent="0.25">
      <c r="AM754" s="66"/>
      <c r="AN754"/>
      <c r="AO754"/>
      <c r="AP754"/>
      <c r="AQ754"/>
      <c r="AS754" s="66"/>
      <c r="AT754"/>
      <c r="AU754"/>
      <c r="AV754"/>
      <c r="AW754"/>
      <c r="BK754" s="66"/>
      <c r="BL754"/>
      <c r="BM754"/>
      <c r="BN754"/>
      <c r="BO754"/>
      <c r="BQ754" s="66"/>
      <c r="BR754"/>
      <c r="BS754"/>
      <c r="BT754"/>
      <c r="BU754"/>
    </row>
    <row r="755" spans="39:73" x14ac:dyDescent="0.25">
      <c r="AM755" s="66"/>
      <c r="AN755"/>
      <c r="AO755"/>
      <c r="AP755"/>
      <c r="AQ755"/>
      <c r="AS755" s="66"/>
      <c r="AT755"/>
      <c r="AU755"/>
      <c r="AV755"/>
      <c r="AW755"/>
      <c r="BK755" s="66"/>
      <c r="BL755"/>
      <c r="BM755"/>
      <c r="BN755"/>
      <c r="BO755"/>
      <c r="BQ755" s="66"/>
      <c r="BR755"/>
      <c r="BS755"/>
      <c r="BT755"/>
      <c r="BU755"/>
    </row>
    <row r="756" spans="39:73" x14ac:dyDescent="0.25">
      <c r="AM756" s="66"/>
      <c r="AN756"/>
      <c r="AO756"/>
      <c r="AP756"/>
      <c r="AQ756"/>
      <c r="AS756" s="66"/>
      <c r="AT756"/>
      <c r="AU756"/>
      <c r="AV756"/>
      <c r="AW756"/>
      <c r="BK756" s="66"/>
      <c r="BL756"/>
      <c r="BM756"/>
      <c r="BN756"/>
      <c r="BO756"/>
      <c r="BQ756" s="66"/>
      <c r="BR756"/>
      <c r="BS756"/>
      <c r="BT756"/>
      <c r="BU756"/>
    </row>
    <row r="757" spans="39:73" x14ac:dyDescent="0.25">
      <c r="AM757" s="66"/>
      <c r="AN757"/>
      <c r="AO757"/>
      <c r="AP757"/>
      <c r="AQ757"/>
      <c r="AS757" s="66"/>
      <c r="AT757"/>
      <c r="AU757"/>
      <c r="AV757"/>
      <c r="AW757"/>
      <c r="BK757" s="66"/>
      <c r="BL757"/>
      <c r="BM757"/>
      <c r="BN757"/>
      <c r="BO757"/>
      <c r="BQ757" s="66"/>
      <c r="BR757"/>
      <c r="BS757"/>
      <c r="BT757"/>
      <c r="BU757"/>
    </row>
    <row r="758" spans="39:73" x14ac:dyDescent="0.25">
      <c r="AM758" s="66"/>
      <c r="AN758"/>
      <c r="AO758"/>
      <c r="AP758"/>
      <c r="AQ758"/>
      <c r="AS758" s="66"/>
      <c r="AT758"/>
      <c r="AU758"/>
      <c r="AV758"/>
      <c r="AW758"/>
      <c r="BK758" s="66"/>
      <c r="BL758"/>
      <c r="BM758"/>
      <c r="BN758"/>
      <c r="BO758"/>
      <c r="BQ758" s="66"/>
      <c r="BR758"/>
      <c r="BS758"/>
      <c r="BT758"/>
      <c r="BU758"/>
    </row>
    <row r="759" spans="39:73" x14ac:dyDescent="0.25">
      <c r="AM759" s="66"/>
      <c r="AN759"/>
      <c r="AO759"/>
      <c r="AP759"/>
      <c r="AQ759"/>
      <c r="AS759" s="66"/>
      <c r="AT759"/>
      <c r="AU759"/>
      <c r="AV759"/>
      <c r="AW759"/>
      <c r="BK759" s="66"/>
      <c r="BL759"/>
      <c r="BM759"/>
      <c r="BN759"/>
      <c r="BO759"/>
      <c r="BQ759" s="66"/>
      <c r="BR759"/>
      <c r="BS759"/>
      <c r="BT759"/>
      <c r="BU759"/>
    </row>
    <row r="760" spans="39:73" x14ac:dyDescent="0.25">
      <c r="AM760" s="66"/>
      <c r="AN760"/>
      <c r="AO760"/>
      <c r="AP760"/>
      <c r="AQ760"/>
      <c r="AS760" s="66"/>
      <c r="AT760"/>
      <c r="AU760"/>
      <c r="AV760"/>
      <c r="AW760"/>
      <c r="BK760" s="66"/>
      <c r="BL760"/>
      <c r="BM760"/>
      <c r="BN760"/>
      <c r="BO760"/>
      <c r="BQ760" s="66"/>
      <c r="BR760"/>
      <c r="BS760"/>
      <c r="BT760"/>
      <c r="BU760"/>
    </row>
    <row r="761" spans="39:73" x14ac:dyDescent="0.25">
      <c r="AM761" s="66"/>
      <c r="AN761"/>
      <c r="AO761"/>
      <c r="AP761"/>
      <c r="AQ761"/>
      <c r="AS761" s="66"/>
      <c r="AT761"/>
      <c r="AU761"/>
      <c r="AV761"/>
      <c r="AW761"/>
      <c r="BK761" s="66"/>
      <c r="BL761"/>
      <c r="BM761"/>
      <c r="BN761"/>
      <c r="BO761"/>
      <c r="BQ761" s="66"/>
      <c r="BR761"/>
      <c r="BS761"/>
      <c r="BT761"/>
      <c r="BU761"/>
    </row>
    <row r="762" spans="39:73" x14ac:dyDescent="0.25">
      <c r="AM762" s="66"/>
      <c r="AN762"/>
      <c r="AO762"/>
      <c r="AP762"/>
      <c r="AQ762"/>
      <c r="AS762" s="66"/>
      <c r="AT762"/>
      <c r="AU762"/>
      <c r="AV762"/>
      <c r="AW762"/>
      <c r="BK762" s="66"/>
      <c r="BL762"/>
      <c r="BM762"/>
      <c r="BN762"/>
      <c r="BO762"/>
      <c r="BQ762" s="66"/>
      <c r="BR762"/>
      <c r="BS762"/>
      <c r="BT762"/>
      <c r="BU762"/>
    </row>
    <row r="763" spans="39:73" x14ac:dyDescent="0.25">
      <c r="AM763" s="66"/>
      <c r="AN763"/>
      <c r="AO763"/>
      <c r="AP763"/>
      <c r="AQ763"/>
      <c r="AS763" s="66"/>
      <c r="AT763"/>
      <c r="AU763"/>
      <c r="AV763"/>
      <c r="AW763"/>
      <c r="BK763" s="66"/>
      <c r="BL763"/>
      <c r="BM763"/>
      <c r="BN763"/>
      <c r="BO763"/>
      <c r="BQ763" s="66"/>
      <c r="BR763"/>
      <c r="BS763"/>
      <c r="BT763"/>
      <c r="BU763"/>
    </row>
    <row r="764" spans="39:73" x14ac:dyDescent="0.25">
      <c r="AM764" s="66"/>
      <c r="AN764"/>
      <c r="AO764"/>
      <c r="AP764"/>
      <c r="AQ764"/>
      <c r="AS764" s="66"/>
      <c r="AT764"/>
      <c r="AU764"/>
      <c r="AV764"/>
      <c r="AW764"/>
      <c r="BK764" s="66"/>
      <c r="BL764"/>
      <c r="BM764"/>
      <c r="BN764"/>
      <c r="BO764"/>
      <c r="BQ764" s="66"/>
      <c r="BR764"/>
      <c r="BS764"/>
      <c r="BT764"/>
      <c r="BU764"/>
    </row>
    <row r="765" spans="39:73" x14ac:dyDescent="0.25">
      <c r="AM765" s="66"/>
      <c r="AN765"/>
      <c r="AO765"/>
      <c r="AP765"/>
      <c r="AQ765"/>
      <c r="AS765" s="66"/>
      <c r="AT765"/>
      <c r="AU765"/>
      <c r="AV765"/>
      <c r="AW765"/>
      <c r="BK765" s="66"/>
      <c r="BL765"/>
      <c r="BM765"/>
      <c r="BN765"/>
      <c r="BO765"/>
      <c r="BQ765" s="66"/>
      <c r="BR765"/>
      <c r="BS765"/>
      <c r="BT765"/>
      <c r="BU765"/>
    </row>
    <row r="766" spans="39:73" x14ac:dyDescent="0.25">
      <c r="AM766" s="66"/>
      <c r="AN766"/>
      <c r="AO766"/>
      <c r="AP766"/>
      <c r="AQ766"/>
      <c r="AS766" s="66"/>
      <c r="AT766"/>
      <c r="AU766"/>
      <c r="AV766"/>
      <c r="AW766"/>
      <c r="BK766" s="66"/>
      <c r="BL766"/>
      <c r="BM766"/>
      <c r="BN766"/>
      <c r="BO766"/>
      <c r="BQ766" s="66"/>
      <c r="BR766"/>
      <c r="BS766"/>
      <c r="BT766"/>
      <c r="BU766"/>
    </row>
    <row r="767" spans="39:73" x14ac:dyDescent="0.25">
      <c r="AM767" s="66"/>
      <c r="AN767"/>
      <c r="AO767"/>
      <c r="AP767"/>
      <c r="AQ767"/>
      <c r="AS767" s="66"/>
      <c r="AT767"/>
      <c r="AU767"/>
      <c r="AV767"/>
      <c r="AW767"/>
      <c r="BK767" s="66"/>
      <c r="BL767"/>
      <c r="BM767"/>
      <c r="BN767"/>
      <c r="BO767"/>
      <c r="BQ767" s="66"/>
      <c r="BR767"/>
      <c r="BS767"/>
      <c r="BT767"/>
      <c r="BU767"/>
    </row>
    <row r="768" spans="39:73" x14ac:dyDescent="0.25">
      <c r="AM768" s="66"/>
      <c r="AN768"/>
      <c r="AO768"/>
      <c r="AP768"/>
      <c r="AQ768"/>
      <c r="AS768" s="66"/>
      <c r="AT768"/>
      <c r="AU768"/>
      <c r="AV768"/>
      <c r="AW768"/>
      <c r="BK768" s="66"/>
      <c r="BL768"/>
      <c r="BM768"/>
      <c r="BN768"/>
      <c r="BO768"/>
      <c r="BQ768" s="66"/>
      <c r="BR768"/>
      <c r="BS768"/>
      <c r="BT768"/>
      <c r="BU768"/>
    </row>
    <row r="769" spans="39:73" x14ac:dyDescent="0.25">
      <c r="AM769" s="66"/>
      <c r="AN769"/>
      <c r="AO769"/>
      <c r="AP769"/>
      <c r="AQ769"/>
      <c r="AS769" s="66"/>
      <c r="AT769"/>
      <c r="AU769"/>
      <c r="AV769"/>
      <c r="AW769"/>
      <c r="BK769" s="66"/>
      <c r="BL769"/>
      <c r="BM769"/>
      <c r="BN769"/>
      <c r="BO769"/>
      <c r="BQ769" s="66"/>
      <c r="BR769"/>
      <c r="BS769"/>
      <c r="BT769"/>
      <c r="BU769"/>
    </row>
    <row r="770" spans="39:73" x14ac:dyDescent="0.25">
      <c r="AM770" s="66"/>
      <c r="AN770"/>
      <c r="AO770"/>
      <c r="AP770"/>
      <c r="AQ770"/>
      <c r="AS770" s="66"/>
      <c r="AT770"/>
      <c r="AU770"/>
      <c r="AV770"/>
      <c r="AW770"/>
      <c r="BK770" s="66"/>
      <c r="BL770"/>
      <c r="BM770"/>
      <c r="BN770"/>
      <c r="BO770"/>
      <c r="BQ770" s="66"/>
      <c r="BR770"/>
      <c r="BS770"/>
      <c r="BT770"/>
      <c r="BU770"/>
    </row>
    <row r="771" spans="39:73" x14ac:dyDescent="0.25">
      <c r="AM771" s="66"/>
      <c r="AN771"/>
      <c r="AO771"/>
      <c r="AP771"/>
      <c r="AQ771"/>
      <c r="AS771" s="66"/>
      <c r="AT771"/>
      <c r="AU771"/>
      <c r="AV771"/>
      <c r="AW771"/>
      <c r="BK771" s="66"/>
      <c r="BL771"/>
      <c r="BM771"/>
      <c r="BN771"/>
      <c r="BO771"/>
      <c r="BQ771" s="66"/>
      <c r="BR771"/>
      <c r="BS771"/>
      <c r="BT771"/>
      <c r="BU771"/>
    </row>
    <row r="772" spans="39:73" x14ac:dyDescent="0.25">
      <c r="AM772" s="66"/>
      <c r="AN772"/>
      <c r="AO772"/>
      <c r="AP772"/>
      <c r="AQ772"/>
      <c r="AS772" s="66"/>
      <c r="AT772"/>
      <c r="AU772"/>
      <c r="AV772"/>
      <c r="AW772"/>
      <c r="BK772" s="66"/>
      <c r="BL772"/>
      <c r="BM772"/>
      <c r="BN772"/>
      <c r="BO772"/>
      <c r="BQ772" s="66"/>
      <c r="BR772"/>
      <c r="BS772"/>
      <c r="BT772"/>
      <c r="BU772"/>
    </row>
    <row r="773" spans="39:73" x14ac:dyDescent="0.25">
      <c r="AM773" s="66"/>
      <c r="AN773"/>
      <c r="AO773"/>
      <c r="AP773"/>
      <c r="AQ773"/>
      <c r="AS773" s="66"/>
      <c r="AT773"/>
      <c r="AU773"/>
      <c r="AV773"/>
      <c r="AW773"/>
      <c r="BK773" s="66"/>
      <c r="BL773"/>
      <c r="BM773"/>
      <c r="BN773"/>
      <c r="BO773"/>
      <c r="BQ773" s="66"/>
      <c r="BR773"/>
      <c r="BS773"/>
      <c r="BT773"/>
      <c r="BU773"/>
    </row>
    <row r="774" spans="39:73" x14ac:dyDescent="0.25">
      <c r="AM774" s="66"/>
      <c r="AN774"/>
      <c r="AO774"/>
      <c r="AP774"/>
      <c r="AQ774"/>
      <c r="AS774" s="66"/>
      <c r="AT774"/>
      <c r="AU774"/>
      <c r="AV774"/>
      <c r="AW774"/>
      <c r="BK774" s="66"/>
      <c r="BL774"/>
      <c r="BM774"/>
      <c r="BN774"/>
      <c r="BO774"/>
      <c r="BQ774" s="66"/>
      <c r="BR774"/>
      <c r="BS774"/>
      <c r="BT774"/>
      <c r="BU774"/>
    </row>
    <row r="775" spans="39:73" x14ac:dyDescent="0.25">
      <c r="AM775" s="66"/>
      <c r="AN775"/>
      <c r="AO775"/>
      <c r="AP775"/>
      <c r="AQ775"/>
      <c r="AS775" s="66"/>
      <c r="AT775"/>
      <c r="AU775"/>
      <c r="AV775"/>
      <c r="AW775"/>
      <c r="BK775" s="66"/>
      <c r="BL775"/>
      <c r="BM775"/>
      <c r="BN775"/>
      <c r="BO775"/>
      <c r="BQ775" s="66"/>
      <c r="BR775"/>
      <c r="BS775"/>
      <c r="BT775"/>
      <c r="BU775"/>
    </row>
    <row r="776" spans="39:73" x14ac:dyDescent="0.25">
      <c r="AM776" s="66"/>
      <c r="AN776"/>
      <c r="AO776"/>
      <c r="AP776"/>
      <c r="AQ776"/>
      <c r="AS776" s="66"/>
      <c r="AT776"/>
      <c r="AU776"/>
      <c r="AV776"/>
      <c r="AW776"/>
      <c r="BK776" s="66"/>
      <c r="BL776"/>
      <c r="BM776"/>
      <c r="BN776"/>
      <c r="BO776"/>
      <c r="BQ776" s="66"/>
      <c r="BR776"/>
      <c r="BS776"/>
      <c r="BT776"/>
      <c r="BU776"/>
    </row>
    <row r="777" spans="39:73" x14ac:dyDescent="0.25">
      <c r="AM777" s="66"/>
      <c r="AN777"/>
      <c r="AO777"/>
      <c r="AP777"/>
      <c r="AQ777"/>
      <c r="AS777" s="66"/>
      <c r="AT777"/>
      <c r="AU777"/>
      <c r="AV777"/>
      <c r="AW777"/>
      <c r="BK777" s="66"/>
      <c r="BL777"/>
      <c r="BM777"/>
      <c r="BN777"/>
      <c r="BO777"/>
      <c r="BQ777" s="66"/>
      <c r="BR777"/>
      <c r="BS777"/>
      <c r="BT777"/>
      <c r="BU777"/>
    </row>
    <row r="778" spans="39:73" x14ac:dyDescent="0.25">
      <c r="AM778" s="66"/>
      <c r="AN778"/>
      <c r="AO778"/>
      <c r="AP778"/>
      <c r="AQ778"/>
      <c r="AS778" s="66"/>
      <c r="AT778"/>
      <c r="AU778"/>
      <c r="AV778"/>
      <c r="AW778"/>
      <c r="BK778" s="66"/>
      <c r="BL778"/>
      <c r="BM778"/>
      <c r="BN778"/>
      <c r="BO778"/>
      <c r="BQ778" s="66"/>
      <c r="BR778"/>
      <c r="BS778"/>
      <c r="BT778"/>
      <c r="BU778"/>
    </row>
    <row r="779" spans="39:73" x14ac:dyDescent="0.25">
      <c r="AM779" s="66"/>
      <c r="AN779"/>
      <c r="AO779"/>
      <c r="AP779"/>
      <c r="AQ779"/>
      <c r="AS779" s="66"/>
      <c r="AT779"/>
      <c r="AU779"/>
      <c r="AV779"/>
      <c r="AW779"/>
      <c r="BK779" s="66"/>
      <c r="BL779"/>
      <c r="BM779"/>
      <c r="BN779"/>
      <c r="BO779"/>
      <c r="BQ779" s="66"/>
      <c r="BR779"/>
      <c r="BS779"/>
      <c r="BT779"/>
      <c r="BU779"/>
    </row>
    <row r="780" spans="39:73" x14ac:dyDescent="0.25">
      <c r="AM780" s="66"/>
      <c r="AN780"/>
      <c r="AO780"/>
      <c r="AP780"/>
      <c r="AQ780"/>
      <c r="AS780" s="66"/>
      <c r="AT780"/>
      <c r="AU780"/>
      <c r="AV780"/>
      <c r="AW780"/>
      <c r="BK780" s="66"/>
      <c r="BL780"/>
      <c r="BM780"/>
      <c r="BN780"/>
      <c r="BO780"/>
      <c r="BQ780" s="66"/>
      <c r="BR780"/>
      <c r="BS780"/>
      <c r="BT780"/>
      <c r="BU780"/>
    </row>
    <row r="781" spans="39:73" x14ac:dyDescent="0.25">
      <c r="AM781" s="66"/>
      <c r="AN781"/>
      <c r="AO781"/>
      <c r="AP781"/>
      <c r="AQ781"/>
      <c r="AS781" s="66"/>
      <c r="AT781"/>
      <c r="AU781"/>
      <c r="AV781"/>
      <c r="AW781"/>
      <c r="BK781" s="66"/>
      <c r="BL781"/>
      <c r="BM781"/>
      <c r="BN781"/>
      <c r="BO781"/>
      <c r="BQ781" s="66"/>
      <c r="BR781"/>
      <c r="BS781"/>
      <c r="BT781"/>
      <c r="BU781"/>
    </row>
    <row r="782" spans="39:73" x14ac:dyDescent="0.25">
      <c r="AM782" s="66"/>
      <c r="AN782"/>
      <c r="AO782"/>
      <c r="AP782"/>
      <c r="AQ782"/>
      <c r="AS782" s="66"/>
      <c r="AT782"/>
      <c r="AU782"/>
      <c r="AV782"/>
      <c r="AW782"/>
      <c r="BK782" s="66"/>
      <c r="BL782"/>
      <c r="BM782"/>
      <c r="BN782"/>
      <c r="BO782"/>
      <c r="BQ782" s="66"/>
      <c r="BR782"/>
      <c r="BS782"/>
      <c r="BT782"/>
      <c r="BU782"/>
    </row>
    <row r="783" spans="39:73" x14ac:dyDescent="0.25">
      <c r="AM783" s="66"/>
      <c r="AN783"/>
      <c r="AO783"/>
      <c r="AP783"/>
      <c r="AQ783"/>
      <c r="AS783" s="66"/>
      <c r="AT783"/>
      <c r="AU783"/>
      <c r="AV783"/>
      <c r="AW783"/>
      <c r="BK783" s="66"/>
      <c r="BL783"/>
      <c r="BM783"/>
      <c r="BN783"/>
      <c r="BO783"/>
      <c r="BQ783" s="66"/>
      <c r="BR783"/>
      <c r="BS783"/>
      <c r="BT783"/>
      <c r="BU783"/>
    </row>
    <row r="784" spans="39:73" x14ac:dyDescent="0.25">
      <c r="AM784" s="66"/>
      <c r="AN784"/>
      <c r="AO784"/>
      <c r="AP784"/>
      <c r="AQ784"/>
      <c r="AS784" s="66"/>
      <c r="AT784"/>
      <c r="AU784"/>
      <c r="AV784"/>
      <c r="AW784"/>
      <c r="BK784" s="66"/>
      <c r="BL784"/>
      <c r="BM784"/>
      <c r="BN784"/>
      <c r="BO784"/>
      <c r="BQ784" s="66"/>
      <c r="BR784"/>
      <c r="BS784"/>
      <c r="BT784"/>
      <c r="BU784"/>
    </row>
    <row r="785" spans="39:73" x14ac:dyDescent="0.25">
      <c r="AM785" s="66"/>
      <c r="AN785"/>
      <c r="AO785"/>
      <c r="AP785"/>
      <c r="AQ785"/>
      <c r="AS785" s="66"/>
      <c r="AT785"/>
      <c r="AU785"/>
      <c r="AV785"/>
      <c r="AW785"/>
      <c r="BK785" s="66"/>
      <c r="BL785"/>
      <c r="BM785"/>
      <c r="BN785"/>
      <c r="BO785"/>
      <c r="BQ785" s="66"/>
      <c r="BR785"/>
      <c r="BS785"/>
      <c r="BT785"/>
      <c r="BU785"/>
    </row>
    <row r="786" spans="39:73" x14ac:dyDescent="0.25">
      <c r="AM786" s="66"/>
      <c r="AN786"/>
      <c r="AO786"/>
      <c r="AP786"/>
      <c r="AQ786"/>
      <c r="AS786" s="66"/>
      <c r="AT786"/>
      <c r="AU786"/>
      <c r="AV786"/>
      <c r="AW786"/>
      <c r="BK786" s="66"/>
      <c r="BL786"/>
      <c r="BM786"/>
      <c r="BN786"/>
      <c r="BO786"/>
      <c r="BQ786" s="66"/>
      <c r="BR786"/>
      <c r="BS786"/>
      <c r="BT786"/>
      <c r="BU786"/>
    </row>
    <row r="787" spans="39:73" x14ac:dyDescent="0.25">
      <c r="AM787" s="66"/>
      <c r="AN787"/>
      <c r="AO787"/>
      <c r="AP787"/>
      <c r="AQ787"/>
      <c r="AS787" s="66"/>
      <c r="AT787"/>
      <c r="AU787"/>
      <c r="AV787"/>
      <c r="AW787"/>
      <c r="BK787" s="66"/>
      <c r="BL787"/>
      <c r="BM787"/>
      <c r="BN787"/>
      <c r="BO787"/>
      <c r="BQ787" s="66"/>
      <c r="BR787"/>
      <c r="BS787"/>
      <c r="BT787"/>
      <c r="BU787"/>
    </row>
    <row r="788" spans="39:73" x14ac:dyDescent="0.25">
      <c r="AM788" s="66"/>
      <c r="AN788"/>
      <c r="AO788"/>
      <c r="AP788"/>
      <c r="AQ788"/>
      <c r="AS788" s="66"/>
      <c r="AT788"/>
      <c r="AU788"/>
      <c r="AV788"/>
      <c r="AW788"/>
      <c r="BK788" s="66"/>
      <c r="BL788"/>
      <c r="BM788"/>
      <c r="BN788"/>
      <c r="BO788"/>
      <c r="BQ788" s="66"/>
      <c r="BR788"/>
      <c r="BS788"/>
      <c r="BT788"/>
      <c r="BU788"/>
    </row>
    <row r="789" spans="39:73" x14ac:dyDescent="0.25">
      <c r="AM789" s="66"/>
      <c r="AN789"/>
      <c r="AO789"/>
      <c r="AP789"/>
      <c r="AQ789"/>
      <c r="AS789" s="66"/>
      <c r="AT789"/>
      <c r="AU789"/>
      <c r="AV789"/>
      <c r="AW789"/>
      <c r="BK789" s="66"/>
      <c r="BL789"/>
      <c r="BM789"/>
      <c r="BN789"/>
      <c r="BO789"/>
      <c r="BQ789" s="66"/>
      <c r="BR789"/>
      <c r="BS789"/>
      <c r="BT789"/>
      <c r="BU789"/>
    </row>
    <row r="790" spans="39:73" x14ac:dyDescent="0.25">
      <c r="AM790" s="66"/>
      <c r="AN790"/>
      <c r="AO790"/>
      <c r="AP790"/>
      <c r="AQ790"/>
      <c r="AS790" s="66"/>
      <c r="AT790"/>
      <c r="AU790"/>
      <c r="AV790"/>
      <c r="AW790"/>
      <c r="BK790" s="66"/>
      <c r="BL790"/>
      <c r="BM790"/>
      <c r="BN790"/>
      <c r="BO790"/>
      <c r="BQ790" s="66"/>
      <c r="BR790"/>
      <c r="BS790"/>
      <c r="BT790"/>
      <c r="BU790"/>
    </row>
    <row r="791" spans="39:73" x14ac:dyDescent="0.25">
      <c r="AM791" s="66"/>
      <c r="AN791"/>
      <c r="AO791"/>
      <c r="AP791"/>
      <c r="AQ791"/>
      <c r="AS791" s="66"/>
      <c r="AT791"/>
      <c r="AU791"/>
      <c r="AV791"/>
      <c r="AW791"/>
      <c r="BK791" s="66"/>
      <c r="BL791"/>
      <c r="BM791"/>
      <c r="BN791"/>
      <c r="BO791"/>
      <c r="BQ791" s="66"/>
      <c r="BR791"/>
      <c r="BS791"/>
      <c r="BT791"/>
      <c r="BU791"/>
    </row>
    <row r="792" spans="39:73" x14ac:dyDescent="0.25">
      <c r="AM792" s="66"/>
      <c r="AN792"/>
      <c r="AO792"/>
      <c r="AP792"/>
      <c r="AQ792"/>
      <c r="AS792" s="66"/>
      <c r="AT792"/>
      <c r="AU792"/>
      <c r="AV792"/>
      <c r="AW792"/>
      <c r="BK792" s="66"/>
      <c r="BL792"/>
      <c r="BM792"/>
      <c r="BN792"/>
      <c r="BO792"/>
      <c r="BQ792" s="66"/>
      <c r="BR792"/>
      <c r="BS792"/>
      <c r="BT792"/>
      <c r="BU792"/>
    </row>
    <row r="793" spans="39:73" x14ac:dyDescent="0.25">
      <c r="AM793" s="66"/>
      <c r="AN793"/>
      <c r="AO793"/>
      <c r="AP793"/>
      <c r="AQ793"/>
      <c r="AS793" s="66"/>
      <c r="AT793"/>
      <c r="AU793"/>
      <c r="AV793"/>
      <c r="AW793"/>
      <c r="BK793" s="66"/>
      <c r="BL793"/>
      <c r="BM793"/>
      <c r="BN793"/>
      <c r="BO793"/>
      <c r="BQ793" s="66"/>
      <c r="BR793"/>
      <c r="BS793"/>
      <c r="BT793"/>
      <c r="BU793"/>
    </row>
    <row r="794" spans="39:73" x14ac:dyDescent="0.25">
      <c r="AM794" s="66"/>
      <c r="AN794"/>
      <c r="AO794"/>
      <c r="AP794"/>
      <c r="AQ794"/>
      <c r="AS794" s="66"/>
      <c r="AT794"/>
      <c r="AU794"/>
      <c r="AV794"/>
      <c r="AW794"/>
      <c r="BK794" s="66"/>
      <c r="BL794"/>
      <c r="BM794"/>
      <c r="BN794"/>
      <c r="BO794"/>
      <c r="BQ794" s="66"/>
      <c r="BR794"/>
      <c r="BS794"/>
      <c r="BT794"/>
      <c r="BU794"/>
    </row>
    <row r="795" spans="39:73" x14ac:dyDescent="0.25">
      <c r="AM795" s="66"/>
      <c r="AN795"/>
      <c r="AO795"/>
      <c r="AP795"/>
      <c r="AQ795"/>
      <c r="AS795" s="66"/>
      <c r="AT795"/>
      <c r="AU795"/>
      <c r="AV795"/>
      <c r="AW795"/>
      <c r="BK795" s="66"/>
      <c r="BL795"/>
      <c r="BM795"/>
      <c r="BN795"/>
      <c r="BO795"/>
      <c r="BQ795" s="66"/>
      <c r="BR795"/>
      <c r="BS795"/>
      <c r="BT795"/>
      <c r="BU795"/>
    </row>
    <row r="796" spans="39:73" x14ac:dyDescent="0.25">
      <c r="AM796" s="66"/>
      <c r="AN796"/>
      <c r="AO796"/>
      <c r="AP796"/>
      <c r="AQ796"/>
      <c r="AS796" s="66"/>
      <c r="AT796"/>
      <c r="AU796"/>
      <c r="AV796"/>
      <c r="AW796"/>
      <c r="BK796" s="66"/>
      <c r="BL796"/>
      <c r="BM796"/>
      <c r="BN796"/>
      <c r="BO796"/>
      <c r="BQ796" s="66"/>
      <c r="BR796"/>
      <c r="BS796"/>
      <c r="BT796"/>
      <c r="BU796"/>
    </row>
    <row r="797" spans="39:73" x14ac:dyDescent="0.25">
      <c r="AM797" s="66"/>
      <c r="AN797"/>
      <c r="AO797"/>
      <c r="AP797"/>
      <c r="AQ797"/>
      <c r="AS797" s="66"/>
      <c r="AT797"/>
      <c r="AU797"/>
      <c r="AV797"/>
      <c r="AW797"/>
      <c r="BK797" s="66"/>
      <c r="BL797"/>
      <c r="BM797"/>
      <c r="BN797"/>
      <c r="BO797"/>
      <c r="BQ797" s="66"/>
      <c r="BR797"/>
      <c r="BS797"/>
      <c r="BT797"/>
      <c r="BU797"/>
    </row>
    <row r="798" spans="39:73" x14ac:dyDescent="0.25">
      <c r="AM798" s="66"/>
      <c r="AN798"/>
      <c r="AO798"/>
      <c r="AP798"/>
      <c r="AQ798"/>
      <c r="AS798" s="66"/>
      <c r="AT798"/>
      <c r="AU798"/>
      <c r="AV798"/>
      <c r="AW798"/>
      <c r="BK798" s="66"/>
      <c r="BL798"/>
      <c r="BM798"/>
      <c r="BN798"/>
      <c r="BO798"/>
      <c r="BQ798" s="66"/>
      <c r="BR798"/>
      <c r="BS798"/>
      <c r="BT798"/>
      <c r="BU798"/>
    </row>
    <row r="799" spans="39:73" x14ac:dyDescent="0.25">
      <c r="AM799" s="66"/>
      <c r="AN799"/>
      <c r="AO799"/>
      <c r="AP799"/>
      <c r="AQ799"/>
      <c r="AS799" s="66"/>
      <c r="AT799"/>
      <c r="AU799"/>
      <c r="AV799"/>
      <c r="AW799"/>
      <c r="BK799" s="66"/>
      <c r="BL799"/>
      <c r="BM799"/>
      <c r="BN799"/>
      <c r="BO799"/>
      <c r="BQ799" s="66"/>
      <c r="BR799"/>
      <c r="BS799"/>
      <c r="BT799"/>
      <c r="BU799"/>
    </row>
    <row r="800" spans="39:73" x14ac:dyDescent="0.25">
      <c r="AM800" s="66"/>
      <c r="AN800"/>
      <c r="AO800"/>
      <c r="AP800"/>
      <c r="AQ800"/>
      <c r="AS800" s="66"/>
      <c r="AT800"/>
      <c r="AU800"/>
      <c r="AV800"/>
      <c r="AW800"/>
      <c r="BK800" s="66"/>
      <c r="BL800"/>
      <c r="BM800"/>
      <c r="BN800"/>
      <c r="BO800"/>
      <c r="BQ800" s="66"/>
      <c r="BR800"/>
      <c r="BS800"/>
      <c r="BT800"/>
      <c r="BU800"/>
    </row>
    <row r="801" spans="39:73" x14ac:dyDescent="0.25">
      <c r="AM801" s="66"/>
      <c r="AN801"/>
      <c r="AO801"/>
      <c r="AP801"/>
      <c r="AQ801"/>
      <c r="AS801" s="66"/>
      <c r="AT801"/>
      <c r="AU801"/>
      <c r="AV801"/>
      <c r="AW801"/>
      <c r="BK801" s="66"/>
      <c r="BL801"/>
      <c r="BM801"/>
      <c r="BN801"/>
      <c r="BO801"/>
      <c r="BQ801" s="66"/>
      <c r="BR801"/>
      <c r="BS801"/>
      <c r="BT801"/>
      <c r="BU801"/>
    </row>
    <row r="802" spans="39:73" x14ac:dyDescent="0.25">
      <c r="AM802" s="66"/>
      <c r="AN802"/>
      <c r="AO802"/>
      <c r="AP802"/>
      <c r="AQ802"/>
      <c r="AS802" s="66"/>
      <c r="AT802"/>
      <c r="AU802"/>
      <c r="AV802"/>
      <c r="AW802"/>
      <c r="BK802" s="66"/>
      <c r="BL802"/>
      <c r="BM802"/>
      <c r="BN802"/>
      <c r="BO802"/>
      <c r="BQ802" s="66"/>
      <c r="BR802"/>
      <c r="BS802"/>
      <c r="BT802"/>
      <c r="BU802"/>
    </row>
    <row r="803" spans="39:73" x14ac:dyDescent="0.25">
      <c r="AM803" s="66"/>
      <c r="AN803"/>
      <c r="AO803"/>
      <c r="AP803"/>
      <c r="AQ803"/>
      <c r="AS803" s="66"/>
      <c r="AT803"/>
      <c r="AU803"/>
      <c r="AV803"/>
      <c r="AW803"/>
      <c r="BK803" s="66"/>
      <c r="BL803"/>
      <c r="BM803"/>
      <c r="BN803"/>
      <c r="BO803"/>
      <c r="BQ803" s="66"/>
      <c r="BR803"/>
      <c r="BS803"/>
      <c r="BT803"/>
      <c r="BU803"/>
    </row>
    <row r="804" spans="39:73" x14ac:dyDescent="0.25">
      <c r="AM804" s="66"/>
      <c r="AN804"/>
      <c r="AO804"/>
      <c r="AP804"/>
      <c r="AQ804"/>
      <c r="AS804" s="66"/>
      <c r="AT804"/>
      <c r="AU804"/>
      <c r="AV804"/>
      <c r="AW804"/>
      <c r="BK804" s="66"/>
      <c r="BL804"/>
      <c r="BM804"/>
      <c r="BN804"/>
      <c r="BO804"/>
      <c r="BQ804" s="66"/>
      <c r="BR804"/>
      <c r="BS804"/>
      <c r="BT804"/>
      <c r="BU804"/>
    </row>
    <row r="805" spans="39:73" x14ac:dyDescent="0.25">
      <c r="AM805" s="66"/>
      <c r="AN805"/>
      <c r="AO805"/>
      <c r="AP805"/>
      <c r="AQ805"/>
      <c r="AS805" s="66"/>
      <c r="AT805"/>
      <c r="AU805"/>
      <c r="AV805"/>
      <c r="AW805"/>
      <c r="BK805" s="66"/>
      <c r="BL805"/>
      <c r="BM805"/>
      <c r="BN805"/>
      <c r="BO805"/>
      <c r="BQ805" s="66"/>
      <c r="BR805"/>
      <c r="BS805"/>
      <c r="BT805"/>
      <c r="BU805"/>
    </row>
    <row r="806" spans="39:73" x14ac:dyDescent="0.25">
      <c r="AM806" s="66"/>
      <c r="AN806"/>
      <c r="AO806"/>
      <c r="AP806"/>
      <c r="AQ806"/>
      <c r="AS806" s="66"/>
      <c r="AT806"/>
      <c r="AU806"/>
      <c r="AV806"/>
      <c r="AW806"/>
      <c r="BK806" s="66"/>
      <c r="BL806"/>
      <c r="BM806"/>
      <c r="BN806"/>
      <c r="BO806"/>
      <c r="BQ806" s="66"/>
      <c r="BR806"/>
      <c r="BS806"/>
      <c r="BT806"/>
      <c r="BU806"/>
    </row>
    <row r="807" spans="39:73" x14ac:dyDescent="0.25">
      <c r="AM807" s="66"/>
      <c r="AN807"/>
      <c r="AO807"/>
      <c r="AP807"/>
      <c r="AQ807"/>
      <c r="AS807" s="66"/>
      <c r="AT807"/>
      <c r="AU807"/>
      <c r="AV807"/>
      <c r="AW807"/>
      <c r="BK807" s="66"/>
      <c r="BL807"/>
      <c r="BM807"/>
      <c r="BN807"/>
      <c r="BO807"/>
      <c r="BQ807" s="66"/>
      <c r="BR807"/>
      <c r="BS807"/>
      <c r="BT807"/>
      <c r="BU807"/>
    </row>
    <row r="808" spans="39:73" x14ac:dyDescent="0.25">
      <c r="AM808" s="66"/>
      <c r="AN808"/>
      <c r="AO808"/>
      <c r="AP808"/>
      <c r="AQ808"/>
      <c r="AS808" s="66"/>
      <c r="AT808"/>
      <c r="AU808"/>
      <c r="AV808"/>
      <c r="AW808"/>
      <c r="BK808" s="66"/>
      <c r="BL808"/>
      <c r="BM808"/>
      <c r="BN808"/>
      <c r="BO808"/>
      <c r="BQ808" s="66"/>
      <c r="BR808"/>
      <c r="BS808"/>
      <c r="BT808"/>
      <c r="BU808"/>
    </row>
    <row r="809" spans="39:73" x14ac:dyDescent="0.25">
      <c r="AM809" s="66"/>
      <c r="AN809"/>
      <c r="AO809"/>
      <c r="AP809"/>
      <c r="AQ809"/>
      <c r="AS809" s="66"/>
      <c r="AT809"/>
      <c r="AU809"/>
      <c r="AV809"/>
      <c r="AW809"/>
      <c r="BK809" s="66"/>
      <c r="BL809"/>
      <c r="BM809"/>
      <c r="BN809"/>
      <c r="BO809"/>
      <c r="BQ809" s="66"/>
      <c r="BR809"/>
      <c r="BS809"/>
      <c r="BT809"/>
      <c r="BU809"/>
    </row>
    <row r="810" spans="39:73" x14ac:dyDescent="0.25">
      <c r="AM810" s="66"/>
      <c r="AN810"/>
      <c r="AO810"/>
      <c r="AP810"/>
      <c r="AQ810"/>
      <c r="AS810" s="66"/>
      <c r="AT810"/>
      <c r="AU810"/>
      <c r="AV810"/>
      <c r="AW810"/>
      <c r="BK810" s="66"/>
      <c r="BL810"/>
      <c r="BM810"/>
      <c r="BN810"/>
      <c r="BO810"/>
      <c r="BQ810" s="66"/>
      <c r="BR810"/>
      <c r="BS810"/>
      <c r="BT810"/>
      <c r="BU810"/>
    </row>
    <row r="811" spans="39:73" x14ac:dyDescent="0.25">
      <c r="AM811" s="66"/>
      <c r="AN811"/>
      <c r="AO811"/>
      <c r="AP811"/>
      <c r="AQ811"/>
      <c r="AS811" s="66"/>
      <c r="AT811"/>
      <c r="AU811"/>
      <c r="AV811"/>
      <c r="AW811"/>
      <c r="BK811" s="66"/>
      <c r="BL811"/>
      <c r="BM811"/>
      <c r="BN811"/>
      <c r="BO811"/>
      <c r="BQ811" s="66"/>
      <c r="BR811"/>
      <c r="BS811"/>
      <c r="BT811"/>
      <c r="BU811"/>
    </row>
    <row r="812" spans="39:73" x14ac:dyDescent="0.25">
      <c r="AM812" s="66"/>
      <c r="AN812"/>
      <c r="AO812"/>
      <c r="AP812"/>
      <c r="AQ812"/>
      <c r="AS812" s="66"/>
      <c r="AT812"/>
      <c r="AU812"/>
      <c r="AV812"/>
      <c r="AW812"/>
      <c r="BK812" s="66"/>
      <c r="BL812"/>
      <c r="BM812"/>
      <c r="BN812"/>
      <c r="BO812"/>
      <c r="BQ812" s="66"/>
      <c r="BR812"/>
      <c r="BS812"/>
      <c r="BT812"/>
      <c r="BU812"/>
    </row>
    <row r="813" spans="39:73" x14ac:dyDescent="0.25">
      <c r="AM813" s="66"/>
      <c r="AN813"/>
      <c r="AO813"/>
      <c r="AP813"/>
      <c r="AQ813"/>
      <c r="AS813" s="66"/>
      <c r="AT813"/>
      <c r="AU813"/>
      <c r="AV813"/>
      <c r="AW813"/>
      <c r="BK813" s="66"/>
      <c r="BL813"/>
      <c r="BM813"/>
      <c r="BN813"/>
      <c r="BO813"/>
      <c r="BQ813" s="66"/>
      <c r="BR813"/>
      <c r="BS813"/>
      <c r="BT813"/>
      <c r="BU813"/>
    </row>
    <row r="814" spans="39:73" x14ac:dyDescent="0.25">
      <c r="AM814" s="66"/>
      <c r="AN814"/>
      <c r="AO814"/>
      <c r="AP814"/>
      <c r="AQ814"/>
      <c r="AS814" s="66"/>
      <c r="AT814"/>
      <c r="AU814"/>
      <c r="AV814"/>
      <c r="AW814"/>
      <c r="BK814" s="66"/>
      <c r="BL814"/>
      <c r="BM814"/>
      <c r="BN814"/>
      <c r="BO814"/>
      <c r="BQ814" s="66"/>
      <c r="BR814"/>
      <c r="BS814"/>
      <c r="BT814"/>
      <c r="BU814"/>
    </row>
    <row r="815" spans="39:73" x14ac:dyDescent="0.25">
      <c r="AM815" s="66"/>
      <c r="AN815"/>
      <c r="AO815"/>
      <c r="AP815"/>
      <c r="AQ815"/>
      <c r="AS815" s="66"/>
      <c r="AT815"/>
      <c r="AU815"/>
      <c r="AV815"/>
      <c r="AW815"/>
      <c r="BK815" s="66"/>
      <c r="BL815"/>
      <c r="BM815"/>
      <c r="BN815"/>
      <c r="BO815"/>
      <c r="BQ815" s="66"/>
      <c r="BR815"/>
      <c r="BS815"/>
      <c r="BT815"/>
      <c r="BU815"/>
    </row>
    <row r="816" spans="39:73" x14ac:dyDescent="0.25">
      <c r="AM816" s="66"/>
      <c r="AN816"/>
      <c r="AO816"/>
      <c r="AP816"/>
      <c r="AQ816"/>
      <c r="AS816" s="66"/>
      <c r="AT816"/>
      <c r="AU816"/>
      <c r="AV816"/>
      <c r="AW816"/>
      <c r="BK816" s="66"/>
      <c r="BL816"/>
      <c r="BM816"/>
      <c r="BN816"/>
      <c r="BO816"/>
      <c r="BQ816" s="66"/>
      <c r="BR816"/>
      <c r="BS816"/>
      <c r="BT816"/>
      <c r="BU816"/>
    </row>
    <row r="817" spans="39:73" x14ac:dyDescent="0.25">
      <c r="AM817" s="66"/>
      <c r="AN817"/>
      <c r="AO817"/>
      <c r="AP817"/>
      <c r="AQ817"/>
      <c r="AS817" s="66"/>
      <c r="AT817"/>
      <c r="AU817"/>
      <c r="AV817"/>
      <c r="AW817"/>
      <c r="BK817" s="66"/>
      <c r="BL817"/>
      <c r="BM817"/>
      <c r="BN817"/>
      <c r="BO817"/>
      <c r="BQ817" s="66"/>
      <c r="BR817"/>
      <c r="BS817"/>
      <c r="BT817"/>
      <c r="BU817"/>
    </row>
    <row r="818" spans="39:73" x14ac:dyDescent="0.25">
      <c r="AM818" s="66"/>
      <c r="AN818"/>
      <c r="AO818"/>
      <c r="AP818"/>
      <c r="AQ818"/>
      <c r="AS818" s="66"/>
      <c r="AT818"/>
      <c r="AU818"/>
      <c r="AV818"/>
      <c r="AW818"/>
      <c r="BK818" s="66"/>
      <c r="BL818"/>
      <c r="BM818"/>
      <c r="BN818"/>
      <c r="BO818"/>
      <c r="BQ818" s="66"/>
      <c r="BR818"/>
      <c r="BS818"/>
      <c r="BT818"/>
      <c r="BU818"/>
    </row>
    <row r="819" spans="39:73" x14ac:dyDescent="0.25">
      <c r="AM819" s="66"/>
      <c r="AN819"/>
      <c r="AO819"/>
      <c r="AP819"/>
      <c r="AQ819"/>
      <c r="AS819" s="66"/>
      <c r="AT819"/>
      <c r="AU819"/>
      <c r="AV819"/>
      <c r="AW819"/>
      <c r="BK819" s="66"/>
      <c r="BL819"/>
      <c r="BM819"/>
      <c r="BN819"/>
      <c r="BO819"/>
      <c r="BQ819" s="66"/>
      <c r="BR819"/>
      <c r="BS819"/>
      <c r="BT819"/>
      <c r="BU819"/>
    </row>
    <row r="820" spans="39:73" x14ac:dyDescent="0.25">
      <c r="AM820" s="66"/>
      <c r="AN820"/>
      <c r="AO820"/>
      <c r="AP820"/>
      <c r="AQ820"/>
      <c r="AS820" s="66"/>
      <c r="AT820"/>
      <c r="AU820"/>
      <c r="AV820"/>
      <c r="AW820"/>
      <c r="BK820" s="66"/>
      <c r="BL820"/>
      <c r="BM820"/>
      <c r="BN820"/>
      <c r="BO820"/>
      <c r="BQ820" s="66"/>
      <c r="BR820"/>
      <c r="BS820"/>
      <c r="BT820"/>
      <c r="BU820"/>
    </row>
    <row r="821" spans="39:73" x14ac:dyDescent="0.25">
      <c r="AM821" s="66"/>
      <c r="AN821"/>
      <c r="AO821"/>
      <c r="AP821"/>
      <c r="AQ821"/>
      <c r="AS821" s="66"/>
      <c r="AT821"/>
      <c r="AU821"/>
      <c r="AV821"/>
      <c r="AW821"/>
      <c r="BK821" s="66"/>
      <c r="BL821"/>
      <c r="BM821"/>
      <c r="BN821"/>
      <c r="BO821"/>
      <c r="BQ821" s="66"/>
      <c r="BR821"/>
      <c r="BS821"/>
      <c r="BT821"/>
      <c r="BU821"/>
    </row>
    <row r="822" spans="39:73" x14ac:dyDescent="0.25">
      <c r="AM822" s="66"/>
      <c r="AN822"/>
      <c r="AO822"/>
      <c r="AP822"/>
      <c r="AQ822"/>
      <c r="AS822" s="66"/>
      <c r="AT822"/>
      <c r="AU822"/>
      <c r="AV822"/>
      <c r="AW822"/>
      <c r="BK822" s="66"/>
      <c r="BL822"/>
      <c r="BM822"/>
      <c r="BN822"/>
      <c r="BO822"/>
      <c r="BQ822" s="66"/>
      <c r="BR822"/>
      <c r="BS822"/>
      <c r="BT822"/>
      <c r="BU822"/>
    </row>
    <row r="823" spans="39:73" x14ac:dyDescent="0.25">
      <c r="AM823" s="66"/>
      <c r="AN823"/>
      <c r="AO823"/>
      <c r="AP823"/>
      <c r="AQ823"/>
      <c r="AS823" s="66"/>
      <c r="AT823"/>
      <c r="AU823"/>
      <c r="AV823"/>
      <c r="AW823"/>
      <c r="BK823" s="66"/>
      <c r="BL823"/>
      <c r="BM823"/>
      <c r="BN823"/>
      <c r="BO823"/>
      <c r="BQ823" s="66"/>
      <c r="BR823"/>
      <c r="BS823"/>
      <c r="BT823"/>
      <c r="BU823"/>
    </row>
    <row r="824" spans="39:73" x14ac:dyDescent="0.25">
      <c r="AM824" s="66"/>
      <c r="AN824"/>
      <c r="AO824"/>
      <c r="AP824"/>
      <c r="AQ824"/>
      <c r="AS824" s="66"/>
      <c r="AT824"/>
      <c r="AU824"/>
      <c r="AV824"/>
      <c r="AW824"/>
      <c r="BK824" s="66"/>
      <c r="BL824"/>
      <c r="BM824"/>
      <c r="BN824"/>
      <c r="BO824"/>
      <c r="BQ824" s="66"/>
      <c r="BR824"/>
      <c r="BS824"/>
      <c r="BT824"/>
      <c r="BU824"/>
    </row>
    <row r="825" spans="39:73" x14ac:dyDescent="0.25">
      <c r="AM825" s="66"/>
      <c r="AN825"/>
      <c r="AO825"/>
      <c r="AP825"/>
      <c r="AQ825"/>
      <c r="AS825" s="66"/>
      <c r="AT825"/>
      <c r="AU825"/>
      <c r="AV825"/>
      <c r="AW825"/>
      <c r="BK825" s="66"/>
      <c r="BL825"/>
      <c r="BM825"/>
      <c r="BN825"/>
      <c r="BO825"/>
      <c r="BQ825" s="66"/>
      <c r="BR825"/>
      <c r="BS825"/>
      <c r="BT825"/>
      <c r="BU825"/>
    </row>
    <row r="826" spans="39:73" x14ac:dyDescent="0.25">
      <c r="AM826" s="66"/>
      <c r="AN826"/>
      <c r="AO826"/>
      <c r="AP826"/>
      <c r="AQ826"/>
      <c r="AS826" s="66"/>
      <c r="AT826"/>
      <c r="AU826"/>
      <c r="AV826"/>
      <c r="AW826"/>
      <c r="BK826" s="66"/>
      <c r="BL826"/>
      <c r="BM826"/>
      <c r="BN826"/>
      <c r="BO826"/>
      <c r="BQ826" s="66"/>
      <c r="BR826"/>
      <c r="BS826"/>
      <c r="BT826"/>
      <c r="BU826"/>
    </row>
    <row r="827" spans="39:73" x14ac:dyDescent="0.25">
      <c r="AM827" s="66"/>
      <c r="AN827"/>
      <c r="AO827"/>
      <c r="AP827"/>
      <c r="AQ827"/>
      <c r="AS827" s="66"/>
      <c r="AT827"/>
      <c r="AU827"/>
      <c r="AV827"/>
      <c r="AW827"/>
      <c r="BK827" s="66"/>
      <c r="BL827"/>
      <c r="BM827"/>
      <c r="BN827"/>
      <c r="BO827"/>
      <c r="BQ827" s="66"/>
      <c r="BR827"/>
      <c r="BS827"/>
      <c r="BT827"/>
      <c r="BU827"/>
    </row>
    <row r="828" spans="39:73" x14ac:dyDescent="0.25">
      <c r="AM828" s="66"/>
      <c r="AN828"/>
      <c r="AO828"/>
      <c r="AP828"/>
      <c r="AQ828"/>
      <c r="AS828" s="66"/>
      <c r="AT828"/>
      <c r="AU828"/>
      <c r="AV828"/>
      <c r="AW828"/>
      <c r="BK828" s="66"/>
      <c r="BL828"/>
      <c r="BM828"/>
      <c r="BN828"/>
      <c r="BO828"/>
      <c r="BQ828" s="66"/>
      <c r="BR828"/>
      <c r="BS828"/>
      <c r="BT828"/>
      <c r="BU828"/>
    </row>
    <row r="829" spans="39:73" x14ac:dyDescent="0.25">
      <c r="AM829" s="66"/>
      <c r="AN829"/>
      <c r="AO829"/>
      <c r="AP829"/>
      <c r="AQ829"/>
      <c r="AS829" s="66"/>
      <c r="AT829"/>
      <c r="AU829"/>
      <c r="AV829"/>
      <c r="AW829"/>
      <c r="BK829" s="66"/>
      <c r="BL829"/>
      <c r="BM829"/>
      <c r="BN829"/>
      <c r="BO829"/>
      <c r="BQ829" s="66"/>
      <c r="BR829"/>
      <c r="BS829"/>
      <c r="BT829"/>
      <c r="BU829"/>
    </row>
    <row r="830" spans="39:73" x14ac:dyDescent="0.25">
      <c r="AM830" s="66"/>
      <c r="AN830"/>
      <c r="AO830"/>
      <c r="AP830"/>
      <c r="AQ830"/>
      <c r="AS830" s="66"/>
      <c r="AT830"/>
      <c r="AU830"/>
      <c r="AV830"/>
      <c r="AW830"/>
      <c r="BK830" s="66"/>
      <c r="BL830"/>
      <c r="BM830"/>
      <c r="BN830"/>
      <c r="BO830"/>
      <c r="BQ830" s="66"/>
      <c r="BR830"/>
      <c r="BS830"/>
      <c r="BT830"/>
      <c r="BU830"/>
    </row>
    <row r="831" spans="39:73" x14ac:dyDescent="0.25">
      <c r="AM831" s="66"/>
      <c r="AN831"/>
      <c r="AO831"/>
      <c r="AP831"/>
      <c r="AQ831"/>
      <c r="AS831" s="66"/>
      <c r="AT831"/>
      <c r="AU831"/>
      <c r="AV831"/>
      <c r="AW831"/>
      <c r="BK831" s="66"/>
      <c r="BL831"/>
      <c r="BM831"/>
      <c r="BN831"/>
      <c r="BO831"/>
      <c r="BQ831" s="66"/>
      <c r="BR831"/>
      <c r="BS831"/>
      <c r="BT831"/>
      <c r="BU831"/>
    </row>
    <row r="832" spans="39:73" x14ac:dyDescent="0.25">
      <c r="AM832" s="66"/>
      <c r="AN832"/>
      <c r="AO832"/>
      <c r="AP832"/>
      <c r="AQ832"/>
      <c r="AS832" s="66"/>
      <c r="AT832"/>
      <c r="AU832"/>
      <c r="AV832"/>
      <c r="AW832"/>
      <c r="BK832" s="66"/>
      <c r="BL832"/>
      <c r="BM832"/>
      <c r="BN832"/>
      <c r="BO832"/>
      <c r="BQ832" s="66"/>
      <c r="BR832"/>
      <c r="BS832"/>
      <c r="BT832"/>
      <c r="BU832"/>
    </row>
    <row r="833" spans="39:73" x14ac:dyDescent="0.25">
      <c r="AM833" s="66"/>
      <c r="AN833"/>
      <c r="AO833"/>
      <c r="AP833"/>
      <c r="AQ833"/>
      <c r="AS833" s="66"/>
      <c r="AT833"/>
      <c r="AU833"/>
      <c r="AV833"/>
      <c r="AW833"/>
      <c r="BK833" s="66"/>
      <c r="BL833"/>
      <c r="BM833"/>
      <c r="BN833"/>
      <c r="BO833"/>
      <c r="BQ833" s="66"/>
      <c r="BR833"/>
      <c r="BS833"/>
      <c r="BT833"/>
      <c r="BU833"/>
    </row>
    <row r="834" spans="39:73" x14ac:dyDescent="0.25">
      <c r="AM834" s="66"/>
      <c r="AN834"/>
      <c r="AO834"/>
      <c r="AP834"/>
      <c r="AQ834"/>
      <c r="AS834" s="66"/>
      <c r="AT834"/>
      <c r="AU834"/>
      <c r="AV834"/>
      <c r="AW834"/>
      <c r="BK834" s="66"/>
      <c r="BL834"/>
      <c r="BM834"/>
      <c r="BN834"/>
      <c r="BO834"/>
      <c r="BQ834" s="66"/>
      <c r="BR834"/>
      <c r="BS834"/>
      <c r="BT834"/>
      <c r="BU834"/>
    </row>
    <row r="835" spans="39:73" x14ac:dyDescent="0.25">
      <c r="AM835" s="66"/>
      <c r="AN835"/>
      <c r="AO835"/>
      <c r="AP835"/>
      <c r="AQ835"/>
      <c r="AS835" s="66"/>
      <c r="AT835"/>
      <c r="AU835"/>
      <c r="AV835"/>
      <c r="AW835"/>
      <c r="BK835" s="66"/>
      <c r="BL835"/>
      <c r="BM835"/>
      <c r="BN835"/>
      <c r="BO835"/>
      <c r="BQ835" s="66"/>
      <c r="BR835"/>
      <c r="BS835"/>
      <c r="BT835"/>
      <c r="BU835"/>
    </row>
    <row r="836" spans="39:73" x14ac:dyDescent="0.25">
      <c r="AM836" s="66"/>
      <c r="AN836"/>
      <c r="AO836"/>
      <c r="AP836"/>
      <c r="AQ836"/>
      <c r="AS836" s="66"/>
      <c r="AT836"/>
      <c r="AU836"/>
      <c r="AV836"/>
      <c r="AW836"/>
      <c r="BK836" s="66"/>
      <c r="BL836"/>
      <c r="BM836"/>
      <c r="BN836"/>
      <c r="BO836"/>
      <c r="BQ836" s="66"/>
      <c r="BR836"/>
      <c r="BS836"/>
      <c r="BT836"/>
      <c r="BU836"/>
    </row>
    <row r="837" spans="39:73" x14ac:dyDescent="0.25">
      <c r="AM837" s="66"/>
      <c r="AN837"/>
      <c r="AO837"/>
      <c r="AP837"/>
      <c r="AQ837"/>
      <c r="AS837" s="66"/>
      <c r="AT837"/>
      <c r="AU837"/>
      <c r="AV837"/>
      <c r="AW837"/>
      <c r="BK837" s="66"/>
      <c r="BL837"/>
      <c r="BM837"/>
      <c r="BN837"/>
      <c r="BO837"/>
      <c r="BQ837" s="66"/>
      <c r="BR837"/>
      <c r="BS837"/>
      <c r="BT837"/>
      <c r="BU837"/>
    </row>
    <row r="838" spans="39:73" x14ac:dyDescent="0.25">
      <c r="AM838" s="66"/>
      <c r="AN838"/>
      <c r="AO838"/>
      <c r="AP838"/>
      <c r="AQ838"/>
      <c r="AS838" s="66"/>
      <c r="AT838"/>
      <c r="AU838"/>
      <c r="AV838"/>
      <c r="AW838"/>
      <c r="BK838" s="66"/>
      <c r="BL838"/>
      <c r="BM838"/>
      <c r="BN838"/>
      <c r="BO838"/>
      <c r="BQ838" s="66"/>
      <c r="BR838"/>
      <c r="BS838"/>
      <c r="BT838"/>
      <c r="BU838"/>
    </row>
    <row r="839" spans="39:73" x14ac:dyDescent="0.25">
      <c r="AM839" s="66"/>
      <c r="AN839"/>
      <c r="AO839"/>
      <c r="AP839"/>
      <c r="AQ839"/>
      <c r="AS839" s="66"/>
      <c r="AT839"/>
      <c r="AU839"/>
      <c r="AV839"/>
      <c r="AW839"/>
      <c r="BK839" s="66"/>
      <c r="BL839"/>
      <c r="BM839"/>
      <c r="BN839"/>
      <c r="BO839"/>
      <c r="BQ839" s="66"/>
      <c r="BR839"/>
      <c r="BS839"/>
      <c r="BT839"/>
      <c r="BU839"/>
    </row>
    <row r="840" spans="39:73" x14ac:dyDescent="0.25">
      <c r="AM840" s="66"/>
      <c r="AN840"/>
      <c r="AO840"/>
      <c r="AP840"/>
      <c r="AQ840"/>
      <c r="AS840" s="66"/>
      <c r="AT840"/>
      <c r="AU840"/>
      <c r="AV840"/>
      <c r="AW840"/>
      <c r="BK840" s="66"/>
      <c r="BL840"/>
      <c r="BM840"/>
      <c r="BN840"/>
      <c r="BO840"/>
      <c r="BQ840" s="66"/>
      <c r="BR840"/>
      <c r="BS840"/>
      <c r="BT840"/>
      <c r="BU840"/>
    </row>
    <row r="841" spans="39:73" x14ac:dyDescent="0.25">
      <c r="AM841" s="66"/>
      <c r="AN841"/>
      <c r="AO841"/>
      <c r="AP841"/>
      <c r="AQ841"/>
      <c r="AS841" s="66"/>
      <c r="AT841"/>
      <c r="AU841"/>
      <c r="AV841"/>
      <c r="AW841"/>
      <c r="BK841" s="66"/>
      <c r="BL841"/>
      <c r="BM841"/>
      <c r="BN841"/>
      <c r="BO841"/>
      <c r="BQ841" s="66"/>
      <c r="BR841"/>
      <c r="BS841"/>
      <c r="BT841"/>
      <c r="BU841"/>
    </row>
    <row r="842" spans="39:73" x14ac:dyDescent="0.25">
      <c r="AM842" s="66"/>
      <c r="AN842"/>
      <c r="AO842"/>
      <c r="AP842"/>
      <c r="AQ842"/>
      <c r="AS842" s="66"/>
      <c r="AT842"/>
      <c r="AU842"/>
      <c r="AV842"/>
      <c r="AW842"/>
      <c r="BK842" s="66"/>
      <c r="BL842"/>
      <c r="BM842"/>
      <c r="BN842"/>
      <c r="BO842"/>
      <c r="BQ842" s="66"/>
      <c r="BR842"/>
      <c r="BS842"/>
      <c r="BT842"/>
      <c r="BU842"/>
    </row>
    <row r="843" spans="39:73" x14ac:dyDescent="0.25">
      <c r="AM843" s="66"/>
      <c r="AN843"/>
      <c r="AO843"/>
      <c r="AP843"/>
      <c r="AQ843"/>
      <c r="AS843" s="66"/>
      <c r="AT843"/>
      <c r="AU843"/>
      <c r="AV843"/>
      <c r="AW843"/>
      <c r="BK843" s="66"/>
      <c r="BL843"/>
      <c r="BM843"/>
      <c r="BN843"/>
      <c r="BO843"/>
      <c r="BQ843" s="66"/>
      <c r="BR843"/>
      <c r="BS843"/>
      <c r="BT843"/>
      <c r="BU843"/>
    </row>
    <row r="844" spans="39:73" x14ac:dyDescent="0.25">
      <c r="AM844" s="66"/>
      <c r="AN844"/>
      <c r="AO844"/>
      <c r="AP844"/>
      <c r="AQ844"/>
      <c r="AS844" s="66"/>
      <c r="AT844"/>
      <c r="AU844"/>
      <c r="AV844"/>
      <c r="AW844"/>
      <c r="BK844" s="66"/>
      <c r="BL844"/>
      <c r="BM844"/>
      <c r="BN844"/>
      <c r="BO844"/>
      <c r="BQ844" s="66"/>
      <c r="BR844"/>
      <c r="BS844"/>
      <c r="BT844"/>
      <c r="BU844"/>
    </row>
    <row r="845" spans="39:73" x14ac:dyDescent="0.25">
      <c r="AM845" s="66"/>
      <c r="AN845"/>
      <c r="AO845"/>
      <c r="AP845"/>
      <c r="AQ845"/>
      <c r="AS845" s="66"/>
      <c r="AT845"/>
      <c r="AU845"/>
      <c r="AV845"/>
      <c r="AW845"/>
      <c r="BK845" s="66"/>
      <c r="BL845"/>
      <c r="BM845"/>
      <c r="BN845"/>
      <c r="BO845"/>
      <c r="BQ845" s="66"/>
      <c r="BR845"/>
      <c r="BS845"/>
      <c r="BT845"/>
      <c r="BU845"/>
    </row>
    <row r="846" spans="39:73" x14ac:dyDescent="0.25">
      <c r="AM846" s="66"/>
      <c r="AN846"/>
      <c r="AO846"/>
      <c r="AP846"/>
      <c r="AQ846"/>
      <c r="AS846" s="66"/>
      <c r="AT846"/>
      <c r="AU846"/>
      <c r="AV846"/>
      <c r="AW846"/>
      <c r="BK846" s="66"/>
      <c r="BL846"/>
      <c r="BM846"/>
      <c r="BN846"/>
      <c r="BO846"/>
      <c r="BQ846" s="66"/>
      <c r="BR846"/>
      <c r="BS846"/>
      <c r="BT846"/>
      <c r="BU846"/>
    </row>
    <row r="847" spans="39:73" x14ac:dyDescent="0.25">
      <c r="AM847" s="66"/>
      <c r="AN847"/>
      <c r="AO847"/>
      <c r="AP847"/>
      <c r="AQ847"/>
      <c r="AS847" s="66"/>
      <c r="AT847"/>
      <c r="AU847"/>
      <c r="AV847"/>
      <c r="AW847"/>
      <c r="BK847" s="66"/>
      <c r="BL847"/>
      <c r="BM847"/>
      <c r="BN847"/>
      <c r="BO847"/>
      <c r="BQ847" s="66"/>
      <c r="BR847"/>
      <c r="BS847"/>
      <c r="BT847"/>
      <c r="BU847"/>
    </row>
    <row r="848" spans="39:73" x14ac:dyDescent="0.25">
      <c r="AM848" s="66"/>
      <c r="AN848"/>
      <c r="AO848"/>
      <c r="AP848"/>
      <c r="AQ848"/>
      <c r="AS848" s="66"/>
      <c r="AT848"/>
      <c r="AU848"/>
      <c r="AV848"/>
      <c r="AW848"/>
      <c r="BK848" s="66"/>
      <c r="BL848"/>
      <c r="BM848"/>
      <c r="BN848"/>
      <c r="BO848"/>
      <c r="BQ848" s="66"/>
      <c r="BR848"/>
      <c r="BS848"/>
      <c r="BT848"/>
      <c r="BU848"/>
    </row>
    <row r="849" spans="39:73" x14ac:dyDescent="0.25">
      <c r="AM849" s="66"/>
      <c r="AN849"/>
      <c r="AO849"/>
      <c r="AP849"/>
      <c r="AQ849"/>
      <c r="AS849" s="66"/>
      <c r="AT849"/>
      <c r="AU849"/>
      <c r="AV849"/>
      <c r="AW849"/>
      <c r="BK849" s="66"/>
      <c r="BL849"/>
      <c r="BM849"/>
      <c r="BN849"/>
      <c r="BO849"/>
      <c r="BQ849" s="66"/>
      <c r="BR849"/>
      <c r="BS849"/>
      <c r="BT849"/>
      <c r="BU849"/>
    </row>
    <row r="850" spans="39:73" x14ac:dyDescent="0.25">
      <c r="AM850" s="66"/>
      <c r="AN850"/>
      <c r="AO850"/>
      <c r="AP850"/>
      <c r="AQ850"/>
      <c r="AS850" s="66"/>
      <c r="AT850"/>
      <c r="AU850"/>
      <c r="AV850"/>
      <c r="AW850"/>
      <c r="BK850" s="66"/>
      <c r="BL850"/>
      <c r="BM850"/>
      <c r="BN850"/>
      <c r="BO850"/>
      <c r="BQ850" s="66"/>
      <c r="BR850"/>
      <c r="BS850"/>
      <c r="BT850"/>
      <c r="BU850"/>
    </row>
    <row r="851" spans="39:73" x14ac:dyDescent="0.25">
      <c r="AM851" s="66"/>
      <c r="AN851"/>
      <c r="AO851"/>
      <c r="AP851"/>
      <c r="AQ851"/>
      <c r="AS851" s="66"/>
      <c r="AT851"/>
      <c r="AU851"/>
      <c r="AV851"/>
      <c r="AW851"/>
      <c r="BK851" s="66"/>
      <c r="BL851"/>
      <c r="BM851"/>
      <c r="BN851"/>
      <c r="BO851"/>
      <c r="BQ851" s="66"/>
      <c r="BR851"/>
      <c r="BS851"/>
      <c r="BT851"/>
      <c r="BU851"/>
    </row>
    <row r="852" spans="39:73" x14ac:dyDescent="0.25">
      <c r="AM852" s="66"/>
      <c r="AN852"/>
      <c r="AO852"/>
      <c r="AP852"/>
      <c r="AQ852"/>
      <c r="AS852" s="66"/>
      <c r="AT852"/>
      <c r="AU852"/>
      <c r="AV852"/>
      <c r="AW852"/>
      <c r="BK852" s="66"/>
      <c r="BL852"/>
      <c r="BM852"/>
      <c r="BN852"/>
      <c r="BO852"/>
      <c r="BQ852" s="66"/>
      <c r="BR852"/>
      <c r="BS852"/>
      <c r="BT852"/>
      <c r="BU852"/>
    </row>
    <row r="853" spans="39:73" x14ac:dyDescent="0.25">
      <c r="AM853" s="66"/>
      <c r="AN853"/>
      <c r="AO853"/>
      <c r="AP853"/>
      <c r="AQ853"/>
      <c r="AS853" s="66"/>
      <c r="AT853"/>
      <c r="AU853"/>
      <c r="AV853"/>
      <c r="AW853"/>
      <c r="BK853" s="66"/>
      <c r="BL853"/>
      <c r="BM853"/>
      <c r="BN853"/>
      <c r="BO853"/>
      <c r="BQ853" s="66"/>
      <c r="BR853"/>
      <c r="BS853"/>
      <c r="BT853"/>
      <c r="BU853"/>
    </row>
    <row r="854" spans="39:73" x14ac:dyDescent="0.25">
      <c r="AM854" s="66"/>
      <c r="AN854"/>
      <c r="AO854"/>
      <c r="AP854"/>
      <c r="AQ854"/>
      <c r="AS854" s="66"/>
      <c r="AT854"/>
      <c r="AU854"/>
      <c r="AV854"/>
      <c r="AW854"/>
      <c r="BK854" s="66"/>
      <c r="BL854"/>
      <c r="BM854"/>
      <c r="BN854"/>
      <c r="BO854"/>
      <c r="BQ854" s="66"/>
      <c r="BR854"/>
      <c r="BS854"/>
      <c r="BT854"/>
      <c r="BU854"/>
    </row>
    <row r="855" spans="39:73" x14ac:dyDescent="0.25">
      <c r="AM855" s="66"/>
      <c r="AN855"/>
      <c r="AO855"/>
      <c r="AP855"/>
      <c r="AQ855"/>
      <c r="AS855" s="66"/>
      <c r="AT855"/>
      <c r="AU855"/>
      <c r="AV855"/>
      <c r="AW855"/>
      <c r="BK855" s="66"/>
      <c r="BL855"/>
      <c r="BM855"/>
      <c r="BN855"/>
      <c r="BO855"/>
      <c r="BQ855" s="66"/>
      <c r="BR855"/>
      <c r="BS855"/>
      <c r="BT855"/>
      <c r="BU855"/>
    </row>
    <row r="856" spans="39:73" x14ac:dyDescent="0.25">
      <c r="AM856" s="66"/>
      <c r="AN856"/>
      <c r="AO856"/>
      <c r="AP856"/>
      <c r="AQ856"/>
      <c r="AS856" s="66"/>
      <c r="AT856"/>
      <c r="AU856"/>
      <c r="AV856"/>
      <c r="AW856"/>
      <c r="BK856" s="66"/>
      <c r="BL856"/>
      <c r="BM856"/>
      <c r="BN856"/>
      <c r="BO856"/>
      <c r="BQ856" s="66"/>
      <c r="BR856"/>
      <c r="BS856"/>
      <c r="BT856"/>
      <c r="BU856"/>
    </row>
    <row r="857" spans="39:73" x14ac:dyDescent="0.25">
      <c r="AM857" s="66"/>
      <c r="AN857"/>
      <c r="AO857"/>
      <c r="AP857"/>
      <c r="AQ857"/>
      <c r="AS857" s="66"/>
      <c r="AT857"/>
      <c r="AU857"/>
      <c r="AV857"/>
      <c r="AW857"/>
      <c r="BK857" s="66"/>
      <c r="BL857"/>
      <c r="BM857"/>
      <c r="BN857"/>
      <c r="BO857"/>
      <c r="BQ857" s="66"/>
      <c r="BR857"/>
      <c r="BS857"/>
      <c r="BT857"/>
      <c r="BU857"/>
    </row>
    <row r="858" spans="39:73" x14ac:dyDescent="0.25">
      <c r="AM858" s="66"/>
      <c r="AN858"/>
      <c r="AO858"/>
      <c r="AP858"/>
      <c r="AQ858"/>
      <c r="AS858" s="66"/>
      <c r="AT858"/>
      <c r="AU858"/>
      <c r="AV858"/>
      <c r="AW858"/>
      <c r="BK858" s="66"/>
      <c r="BL858"/>
      <c r="BM858"/>
      <c r="BN858"/>
      <c r="BO858"/>
      <c r="BQ858" s="66"/>
      <c r="BR858"/>
      <c r="BS858"/>
      <c r="BT858"/>
      <c r="BU858"/>
    </row>
    <row r="859" spans="39:73" x14ac:dyDescent="0.25">
      <c r="AM859" s="66"/>
      <c r="AN859"/>
      <c r="AO859"/>
      <c r="AP859"/>
      <c r="AQ859"/>
      <c r="AS859" s="66"/>
      <c r="AT859"/>
      <c r="AU859"/>
      <c r="AV859"/>
      <c r="AW859"/>
      <c r="BK859" s="66"/>
      <c r="BL859"/>
      <c r="BM859"/>
      <c r="BN859"/>
      <c r="BO859"/>
      <c r="BQ859" s="66"/>
      <c r="BR859"/>
      <c r="BS859"/>
      <c r="BT859"/>
      <c r="BU859"/>
    </row>
    <row r="860" spans="39:73" x14ac:dyDescent="0.25">
      <c r="AM860" s="66"/>
      <c r="AN860"/>
      <c r="AO860"/>
      <c r="AP860"/>
      <c r="AQ860"/>
      <c r="AS860" s="66"/>
      <c r="AT860"/>
      <c r="AU860"/>
      <c r="AV860"/>
      <c r="AW860"/>
      <c r="BK860" s="66"/>
      <c r="BL860"/>
      <c r="BM860"/>
      <c r="BN860"/>
      <c r="BO860"/>
      <c r="BQ860" s="66"/>
      <c r="BR860"/>
      <c r="BS860"/>
      <c r="BT860"/>
      <c r="BU860"/>
    </row>
    <row r="861" spans="39:73" x14ac:dyDescent="0.25">
      <c r="AM861" s="66"/>
      <c r="AN861"/>
      <c r="AO861"/>
      <c r="AP861"/>
      <c r="AQ861"/>
      <c r="AS861" s="66"/>
      <c r="AT861"/>
      <c r="AU861"/>
      <c r="AV861"/>
      <c r="AW861"/>
      <c r="BK861" s="66"/>
      <c r="BL861"/>
      <c r="BM861"/>
      <c r="BN861"/>
      <c r="BO861"/>
      <c r="BQ861" s="66"/>
      <c r="BR861"/>
      <c r="BS861"/>
      <c r="BT861"/>
      <c r="BU861"/>
    </row>
    <row r="862" spans="39:73" x14ac:dyDescent="0.25">
      <c r="AM862" s="66"/>
      <c r="AN862"/>
      <c r="AO862"/>
      <c r="AP862"/>
      <c r="AQ862"/>
      <c r="AS862" s="66"/>
      <c r="AT862"/>
      <c r="AU862"/>
      <c r="AV862"/>
      <c r="AW862"/>
      <c r="BK862" s="66"/>
      <c r="BL862"/>
      <c r="BM862"/>
      <c r="BN862"/>
      <c r="BO862"/>
      <c r="BQ862" s="66"/>
      <c r="BR862"/>
      <c r="BS862"/>
      <c r="BT862"/>
      <c r="BU862"/>
    </row>
    <row r="863" spans="39:73" x14ac:dyDescent="0.25">
      <c r="AM863" s="66"/>
      <c r="AN863"/>
      <c r="AO863"/>
      <c r="AP863"/>
      <c r="AQ863"/>
      <c r="AS863" s="66"/>
      <c r="AT863"/>
      <c r="AU863"/>
      <c r="AV863"/>
      <c r="AW863"/>
      <c r="BK863" s="66"/>
      <c r="BL863"/>
      <c r="BM863"/>
      <c r="BN863"/>
      <c r="BO863"/>
      <c r="BQ863" s="66"/>
      <c r="BR863"/>
      <c r="BS863"/>
      <c r="BT863"/>
      <c r="BU863"/>
    </row>
    <row r="864" spans="39:73" x14ac:dyDescent="0.25">
      <c r="AM864" s="66"/>
      <c r="AN864"/>
      <c r="AO864"/>
      <c r="AP864"/>
      <c r="AQ864"/>
      <c r="AS864" s="66"/>
      <c r="AT864"/>
      <c r="AU864"/>
      <c r="AV864"/>
      <c r="AW864"/>
      <c r="BK864" s="66"/>
      <c r="BL864"/>
      <c r="BM864"/>
      <c r="BN864"/>
      <c r="BO864"/>
      <c r="BQ864" s="66"/>
      <c r="BR864"/>
      <c r="BS864"/>
      <c r="BT864"/>
      <c r="BU864"/>
    </row>
    <row r="865" spans="39:73" x14ac:dyDescent="0.25">
      <c r="AM865" s="66"/>
      <c r="AN865"/>
      <c r="AO865"/>
      <c r="AP865"/>
      <c r="AQ865"/>
      <c r="AS865" s="66"/>
      <c r="AT865"/>
      <c r="AU865"/>
      <c r="AV865"/>
      <c r="AW865"/>
      <c r="BK865" s="66"/>
      <c r="BL865"/>
      <c r="BM865"/>
      <c r="BN865"/>
      <c r="BO865"/>
      <c r="BQ865" s="66"/>
      <c r="BR865"/>
      <c r="BS865"/>
      <c r="BT865"/>
      <c r="BU865"/>
    </row>
    <row r="866" spans="39:73" x14ac:dyDescent="0.25">
      <c r="AM866" s="66"/>
      <c r="AN866"/>
      <c r="AO866"/>
      <c r="AP866"/>
      <c r="AQ866"/>
      <c r="AS866" s="66"/>
      <c r="AT866"/>
      <c r="AU866"/>
      <c r="AV866"/>
      <c r="AW866"/>
      <c r="BK866" s="66"/>
      <c r="BL866"/>
      <c r="BM866"/>
      <c r="BN866"/>
      <c r="BO866"/>
      <c r="BQ866" s="66"/>
      <c r="BR866"/>
      <c r="BS866"/>
      <c r="BT866"/>
      <c r="BU866"/>
    </row>
    <row r="867" spans="39:73" x14ac:dyDescent="0.25">
      <c r="AM867" s="66"/>
      <c r="AN867"/>
      <c r="AO867"/>
      <c r="AP867"/>
      <c r="AQ867"/>
      <c r="AS867" s="66"/>
      <c r="AT867"/>
      <c r="AU867"/>
      <c r="AV867"/>
      <c r="AW867"/>
      <c r="BK867" s="66"/>
      <c r="BL867"/>
      <c r="BM867"/>
      <c r="BN867"/>
      <c r="BO867"/>
      <c r="BQ867" s="66"/>
      <c r="BR867"/>
      <c r="BS867"/>
      <c r="BT867"/>
      <c r="BU867"/>
    </row>
    <row r="868" spans="39:73" x14ac:dyDescent="0.25">
      <c r="AM868" s="66"/>
      <c r="AN868"/>
      <c r="AO868"/>
      <c r="AP868"/>
      <c r="AQ868"/>
      <c r="AS868" s="66"/>
      <c r="AT868"/>
      <c r="AU868"/>
      <c r="AV868"/>
      <c r="AW868"/>
      <c r="BK868" s="66"/>
      <c r="BL868"/>
      <c r="BM868"/>
      <c r="BN868"/>
      <c r="BO868"/>
      <c r="BQ868" s="66"/>
      <c r="BR868"/>
      <c r="BS868"/>
      <c r="BT868"/>
      <c r="BU868"/>
    </row>
    <row r="869" spans="39:73" x14ac:dyDescent="0.25">
      <c r="AM869" s="66"/>
      <c r="AN869"/>
      <c r="AO869"/>
      <c r="AP869"/>
      <c r="AQ869"/>
      <c r="AS869" s="66"/>
      <c r="AT869"/>
      <c r="AU869"/>
      <c r="AV869"/>
      <c r="AW869"/>
      <c r="BK869" s="66"/>
      <c r="BL869"/>
      <c r="BM869"/>
      <c r="BN869"/>
      <c r="BO869"/>
      <c r="BQ869" s="66"/>
      <c r="BR869"/>
      <c r="BS869"/>
      <c r="BT869"/>
      <c r="BU869"/>
    </row>
    <row r="870" spans="39:73" x14ac:dyDescent="0.25">
      <c r="AM870" s="66"/>
      <c r="AN870"/>
      <c r="AO870"/>
      <c r="AP870"/>
      <c r="AQ870"/>
      <c r="AS870" s="66"/>
      <c r="AT870"/>
      <c r="AU870"/>
      <c r="AV870"/>
      <c r="AW870"/>
      <c r="BK870" s="66"/>
      <c r="BL870"/>
      <c r="BM870"/>
      <c r="BN870"/>
      <c r="BO870"/>
      <c r="BQ870" s="66"/>
      <c r="BR870"/>
      <c r="BS870"/>
      <c r="BT870"/>
      <c r="BU870"/>
    </row>
    <row r="871" spans="39:73" x14ac:dyDescent="0.25">
      <c r="AM871" s="66"/>
      <c r="AN871"/>
      <c r="AO871"/>
      <c r="AP871"/>
      <c r="AQ871"/>
      <c r="AS871" s="66"/>
      <c r="AT871"/>
      <c r="AU871"/>
      <c r="AV871"/>
      <c r="AW871"/>
      <c r="BK871" s="66"/>
      <c r="BL871"/>
      <c r="BM871"/>
      <c r="BN871"/>
      <c r="BO871"/>
      <c r="BQ871" s="66"/>
      <c r="BR871"/>
      <c r="BS871"/>
      <c r="BT871"/>
      <c r="BU871"/>
    </row>
    <row r="872" spans="39:73" x14ac:dyDescent="0.25">
      <c r="AM872" s="66"/>
      <c r="AN872"/>
      <c r="AO872"/>
      <c r="AP872"/>
      <c r="AQ872"/>
      <c r="AS872" s="66"/>
      <c r="AT872"/>
      <c r="AU872"/>
      <c r="AV872"/>
      <c r="AW872"/>
      <c r="BK872" s="66"/>
      <c r="BL872"/>
      <c r="BM872"/>
      <c r="BN872"/>
      <c r="BO872"/>
      <c r="BQ872" s="66"/>
      <c r="BR872"/>
      <c r="BS872"/>
      <c r="BT872"/>
      <c r="BU872"/>
    </row>
    <row r="873" spans="39:73" x14ac:dyDescent="0.25">
      <c r="AM873" s="66"/>
      <c r="AN873"/>
      <c r="AO873"/>
      <c r="AP873"/>
      <c r="AQ873"/>
      <c r="AS873" s="66"/>
      <c r="AT873"/>
      <c r="AU873"/>
      <c r="AV873"/>
      <c r="AW873"/>
      <c r="BK873" s="66"/>
      <c r="BL873"/>
      <c r="BM873"/>
      <c r="BN873"/>
      <c r="BO873"/>
      <c r="BQ873" s="66"/>
      <c r="BR873"/>
      <c r="BS873"/>
      <c r="BT873"/>
      <c r="BU873"/>
    </row>
    <row r="874" spans="39:73" x14ac:dyDescent="0.25">
      <c r="AM874" s="66"/>
      <c r="AN874"/>
      <c r="AO874"/>
      <c r="AP874"/>
      <c r="AQ874"/>
      <c r="AS874" s="66"/>
      <c r="AT874"/>
      <c r="AU874"/>
      <c r="AV874"/>
      <c r="AW874"/>
      <c r="BK874" s="66"/>
      <c r="BL874"/>
      <c r="BM874"/>
      <c r="BN874"/>
      <c r="BO874"/>
      <c r="BQ874" s="66"/>
      <c r="BR874"/>
      <c r="BS874"/>
      <c r="BT874"/>
      <c r="BU874"/>
    </row>
    <row r="875" spans="39:73" x14ac:dyDescent="0.25">
      <c r="AM875" s="66"/>
      <c r="AN875"/>
      <c r="AO875"/>
      <c r="AP875"/>
      <c r="AQ875"/>
      <c r="AS875" s="66"/>
      <c r="AT875"/>
      <c r="AU875"/>
      <c r="AV875"/>
      <c r="AW875"/>
      <c r="BK875" s="66"/>
      <c r="BL875"/>
      <c r="BM875"/>
      <c r="BN875"/>
      <c r="BO875"/>
      <c r="BQ875" s="66"/>
      <c r="BR875"/>
      <c r="BS875"/>
      <c r="BT875"/>
      <c r="BU875"/>
    </row>
    <row r="876" spans="39:73" x14ac:dyDescent="0.25">
      <c r="AM876" s="66"/>
      <c r="AN876"/>
      <c r="AO876"/>
      <c r="AP876"/>
      <c r="AQ876"/>
      <c r="AS876" s="66"/>
      <c r="AT876"/>
      <c r="AU876"/>
      <c r="AV876"/>
      <c r="AW876"/>
      <c r="BK876" s="66"/>
      <c r="BL876"/>
      <c r="BM876"/>
      <c r="BN876"/>
      <c r="BO876"/>
      <c r="BQ876" s="66"/>
      <c r="BR876"/>
      <c r="BS876"/>
      <c r="BT876"/>
      <c r="BU876"/>
    </row>
    <row r="877" spans="39:73" x14ac:dyDescent="0.25">
      <c r="AM877" s="66"/>
      <c r="AN877"/>
      <c r="AO877"/>
      <c r="AP877"/>
      <c r="AQ877"/>
      <c r="AS877" s="66"/>
      <c r="AT877"/>
      <c r="AU877"/>
      <c r="AV877"/>
      <c r="AW877"/>
      <c r="BK877" s="66"/>
      <c r="BL877"/>
      <c r="BM877"/>
      <c r="BN877"/>
      <c r="BO877"/>
      <c r="BQ877" s="66"/>
      <c r="BR877"/>
      <c r="BS877"/>
      <c r="BT877"/>
      <c r="BU877"/>
    </row>
    <row r="878" spans="39:73" x14ac:dyDescent="0.25">
      <c r="AM878" s="66"/>
      <c r="AN878"/>
      <c r="AO878"/>
      <c r="AP878"/>
      <c r="AQ878"/>
      <c r="AS878" s="66"/>
      <c r="AT878"/>
      <c r="AU878"/>
      <c r="AV878"/>
      <c r="AW878"/>
      <c r="BK878" s="66"/>
      <c r="BL878"/>
      <c r="BM878"/>
      <c r="BN878"/>
      <c r="BO878"/>
      <c r="BQ878" s="66"/>
      <c r="BR878"/>
      <c r="BS878"/>
      <c r="BT878"/>
      <c r="BU878"/>
    </row>
    <row r="879" spans="39:73" x14ac:dyDescent="0.25">
      <c r="AM879" s="66"/>
      <c r="AN879"/>
      <c r="AO879"/>
      <c r="AP879"/>
      <c r="AQ879"/>
      <c r="AS879" s="66"/>
      <c r="AT879"/>
      <c r="AU879"/>
      <c r="AV879"/>
      <c r="AW879"/>
      <c r="BK879" s="66"/>
      <c r="BL879"/>
      <c r="BM879"/>
      <c r="BN879"/>
      <c r="BO879"/>
      <c r="BQ879" s="66"/>
      <c r="BR879"/>
      <c r="BS879"/>
      <c r="BT879"/>
      <c r="BU879"/>
    </row>
    <row r="880" spans="39:73" x14ac:dyDescent="0.25">
      <c r="AM880" s="66"/>
      <c r="AN880"/>
      <c r="AO880"/>
      <c r="AP880"/>
      <c r="AQ880"/>
      <c r="AS880" s="66"/>
      <c r="AT880"/>
      <c r="AU880"/>
      <c r="AV880"/>
      <c r="AW880"/>
      <c r="BK880" s="66"/>
      <c r="BL880"/>
      <c r="BM880"/>
      <c r="BN880"/>
      <c r="BO880"/>
      <c r="BQ880" s="66"/>
      <c r="BR880"/>
      <c r="BS880"/>
      <c r="BT880"/>
      <c r="BU880"/>
    </row>
    <row r="881" spans="39:73" x14ac:dyDescent="0.25">
      <c r="AM881" s="66"/>
      <c r="AN881"/>
      <c r="AO881"/>
      <c r="AP881"/>
      <c r="AQ881"/>
      <c r="AS881" s="66"/>
      <c r="AT881"/>
      <c r="AU881"/>
      <c r="AV881"/>
      <c r="AW881"/>
      <c r="BK881" s="66"/>
      <c r="BL881"/>
      <c r="BM881"/>
      <c r="BN881"/>
      <c r="BO881"/>
      <c r="BQ881" s="66"/>
      <c r="BR881"/>
      <c r="BS881"/>
      <c r="BT881"/>
      <c r="BU881"/>
    </row>
    <row r="882" spans="39:73" x14ac:dyDescent="0.25">
      <c r="AM882" s="66"/>
      <c r="AN882"/>
      <c r="AO882"/>
      <c r="AP882"/>
      <c r="AQ882"/>
      <c r="AS882" s="66"/>
      <c r="AT882"/>
      <c r="AU882"/>
      <c r="AV882"/>
      <c r="AW882"/>
      <c r="BK882" s="66"/>
      <c r="BL882"/>
      <c r="BM882"/>
      <c r="BN882"/>
      <c r="BO882"/>
      <c r="BQ882" s="66"/>
      <c r="BR882"/>
      <c r="BS882"/>
      <c r="BT882"/>
      <c r="BU882"/>
    </row>
    <row r="883" spans="39:73" x14ac:dyDescent="0.25">
      <c r="AM883" s="66"/>
      <c r="AN883"/>
      <c r="AO883"/>
      <c r="AP883"/>
      <c r="AQ883"/>
      <c r="AS883" s="66"/>
      <c r="AT883"/>
      <c r="AU883"/>
      <c r="AV883"/>
      <c r="AW883"/>
      <c r="BK883" s="66"/>
      <c r="BL883"/>
      <c r="BM883"/>
      <c r="BN883"/>
      <c r="BO883"/>
      <c r="BQ883" s="66"/>
      <c r="BR883"/>
      <c r="BS883"/>
      <c r="BT883"/>
      <c r="BU883"/>
    </row>
    <row r="884" spans="39:73" x14ac:dyDescent="0.25">
      <c r="AM884" s="66"/>
      <c r="AN884"/>
      <c r="AO884"/>
      <c r="AP884"/>
      <c r="AQ884"/>
      <c r="AS884" s="66"/>
      <c r="AT884"/>
      <c r="AU884"/>
      <c r="AV884"/>
      <c r="AW884"/>
      <c r="BK884" s="66"/>
      <c r="BL884"/>
      <c r="BM884"/>
      <c r="BN884"/>
      <c r="BO884"/>
      <c r="BQ884" s="66"/>
      <c r="BR884"/>
      <c r="BS884"/>
      <c r="BT884"/>
      <c r="BU884"/>
    </row>
    <row r="885" spans="39:73" x14ac:dyDescent="0.25">
      <c r="AM885" s="66"/>
      <c r="AN885"/>
      <c r="AO885"/>
      <c r="AP885"/>
      <c r="AQ885"/>
      <c r="AS885" s="66"/>
      <c r="AT885"/>
      <c r="AU885"/>
      <c r="AV885"/>
      <c r="AW885"/>
      <c r="BK885" s="66"/>
      <c r="BL885"/>
      <c r="BM885"/>
      <c r="BN885"/>
      <c r="BO885"/>
      <c r="BQ885" s="66"/>
      <c r="BR885"/>
      <c r="BS885"/>
      <c r="BT885"/>
      <c r="BU885"/>
    </row>
    <row r="886" spans="39:73" x14ac:dyDescent="0.25">
      <c r="AM886" s="66"/>
      <c r="AN886"/>
      <c r="AO886"/>
      <c r="AP886"/>
      <c r="AQ886"/>
      <c r="AS886" s="66"/>
      <c r="AT886"/>
      <c r="AU886"/>
      <c r="AV886"/>
      <c r="AW886"/>
      <c r="BK886" s="66"/>
      <c r="BL886"/>
      <c r="BM886"/>
      <c r="BN886"/>
      <c r="BO886"/>
      <c r="BQ886" s="66"/>
      <c r="BR886"/>
      <c r="BS886"/>
      <c r="BT886"/>
      <c r="BU886"/>
    </row>
    <row r="887" spans="39:73" x14ac:dyDescent="0.25">
      <c r="AM887" s="66"/>
      <c r="AN887"/>
      <c r="AO887"/>
      <c r="AP887"/>
      <c r="AQ887"/>
      <c r="AS887" s="66"/>
      <c r="AT887"/>
      <c r="AU887"/>
      <c r="AV887"/>
      <c r="AW887"/>
      <c r="BK887" s="66"/>
      <c r="BL887"/>
      <c r="BM887"/>
      <c r="BN887"/>
      <c r="BO887"/>
      <c r="BQ887" s="66"/>
      <c r="BR887"/>
      <c r="BS887"/>
      <c r="BT887"/>
      <c r="BU887"/>
    </row>
    <row r="888" spans="39:73" x14ac:dyDescent="0.25">
      <c r="AM888" s="66"/>
      <c r="AN888"/>
      <c r="AO888"/>
      <c r="AP888"/>
      <c r="AQ888"/>
      <c r="AS888" s="66"/>
      <c r="AT888"/>
      <c r="AU888"/>
      <c r="AV888"/>
      <c r="AW888"/>
      <c r="BK888" s="66"/>
      <c r="BL888"/>
      <c r="BM888"/>
      <c r="BN888"/>
      <c r="BO888"/>
      <c r="BQ888" s="66"/>
      <c r="BR888"/>
      <c r="BS888"/>
      <c r="BT888"/>
      <c r="BU888"/>
    </row>
    <row r="889" spans="39:73" x14ac:dyDescent="0.25">
      <c r="AM889" s="66"/>
      <c r="AN889"/>
      <c r="AO889"/>
      <c r="AP889"/>
      <c r="AQ889"/>
      <c r="AS889" s="66"/>
      <c r="AT889"/>
      <c r="AU889"/>
      <c r="AV889"/>
      <c r="AW889"/>
      <c r="BK889" s="66"/>
      <c r="BL889"/>
      <c r="BM889"/>
      <c r="BN889"/>
      <c r="BO889"/>
      <c r="BQ889" s="66"/>
      <c r="BR889"/>
      <c r="BS889"/>
      <c r="BT889"/>
      <c r="BU889"/>
    </row>
    <row r="890" spans="39:73" x14ac:dyDescent="0.25">
      <c r="AM890" s="66"/>
      <c r="AN890"/>
      <c r="AO890"/>
      <c r="AP890"/>
      <c r="AQ890"/>
      <c r="AS890" s="66"/>
      <c r="AT890"/>
      <c r="AU890"/>
      <c r="AV890"/>
      <c r="AW890"/>
      <c r="BK890" s="66"/>
      <c r="BL890"/>
      <c r="BM890"/>
      <c r="BN890"/>
      <c r="BO890"/>
      <c r="BQ890" s="66"/>
      <c r="BR890"/>
      <c r="BS890"/>
      <c r="BT890"/>
      <c r="BU890"/>
    </row>
    <row r="891" spans="39:73" x14ac:dyDescent="0.25">
      <c r="AM891" s="66"/>
      <c r="AN891"/>
      <c r="AO891"/>
      <c r="AP891"/>
      <c r="AQ891"/>
      <c r="AS891" s="66"/>
      <c r="AT891"/>
      <c r="AU891"/>
      <c r="AV891"/>
      <c r="AW891"/>
      <c r="BK891" s="66"/>
      <c r="BL891"/>
      <c r="BM891"/>
      <c r="BN891"/>
      <c r="BO891"/>
      <c r="BQ891" s="66"/>
      <c r="BR891"/>
      <c r="BS891"/>
      <c r="BT891"/>
      <c r="BU891"/>
    </row>
    <row r="892" spans="39:73" x14ac:dyDescent="0.25">
      <c r="AM892" s="66"/>
      <c r="AN892"/>
      <c r="AO892"/>
      <c r="AP892"/>
      <c r="AQ892"/>
      <c r="AS892" s="66"/>
      <c r="AT892"/>
      <c r="AU892"/>
      <c r="AV892"/>
      <c r="AW892"/>
      <c r="BK892" s="66"/>
      <c r="BL892"/>
      <c r="BM892"/>
      <c r="BN892"/>
      <c r="BO892"/>
      <c r="BQ892" s="66"/>
      <c r="BR892"/>
      <c r="BS892"/>
      <c r="BT892"/>
      <c r="BU892"/>
    </row>
    <row r="893" spans="39:73" x14ac:dyDescent="0.25">
      <c r="AM893" s="66"/>
      <c r="AN893"/>
      <c r="AO893"/>
      <c r="AP893"/>
      <c r="AQ893"/>
      <c r="AS893" s="66"/>
      <c r="AT893"/>
      <c r="AU893"/>
      <c r="AV893"/>
      <c r="AW893"/>
      <c r="BK893" s="66"/>
      <c r="BL893"/>
      <c r="BM893"/>
      <c r="BN893"/>
      <c r="BO893"/>
      <c r="BQ893" s="66"/>
      <c r="BR893"/>
      <c r="BS893"/>
      <c r="BT893"/>
      <c r="BU893"/>
    </row>
    <row r="894" spans="39:73" x14ac:dyDescent="0.25">
      <c r="AM894" s="66"/>
      <c r="AN894"/>
      <c r="AO894"/>
      <c r="AP894"/>
      <c r="AQ894"/>
      <c r="AS894" s="66"/>
      <c r="AT894"/>
      <c r="AU894"/>
      <c r="AV894"/>
      <c r="AW894"/>
      <c r="BK894" s="66"/>
      <c r="BL894"/>
      <c r="BM894"/>
      <c r="BN894"/>
      <c r="BO894"/>
      <c r="BQ894" s="66"/>
      <c r="BR894"/>
      <c r="BS894"/>
      <c r="BT894"/>
      <c r="BU894"/>
    </row>
    <row r="895" spans="39:73" x14ac:dyDescent="0.25">
      <c r="AM895" s="66"/>
      <c r="AN895"/>
      <c r="AO895"/>
      <c r="AP895"/>
      <c r="AQ895"/>
      <c r="AS895" s="66"/>
      <c r="AT895"/>
      <c r="AU895"/>
      <c r="AV895"/>
      <c r="AW895"/>
      <c r="BK895" s="66"/>
      <c r="BL895"/>
      <c r="BM895"/>
      <c r="BN895"/>
      <c r="BO895"/>
      <c r="BQ895" s="66"/>
      <c r="BR895"/>
      <c r="BS895"/>
      <c r="BT895"/>
      <c r="BU895"/>
    </row>
    <row r="896" spans="39:73" x14ac:dyDescent="0.25">
      <c r="AM896" s="66"/>
      <c r="AN896"/>
      <c r="AO896"/>
      <c r="AP896"/>
      <c r="AQ896"/>
      <c r="AS896" s="66"/>
      <c r="AT896"/>
      <c r="AU896"/>
      <c r="AV896"/>
      <c r="AW896"/>
      <c r="BK896" s="66"/>
      <c r="BL896"/>
      <c r="BM896"/>
      <c r="BN896"/>
      <c r="BO896"/>
      <c r="BQ896" s="66"/>
      <c r="BR896"/>
      <c r="BS896"/>
      <c r="BT896"/>
      <c r="BU896"/>
    </row>
    <row r="897" spans="39:73" x14ac:dyDescent="0.25">
      <c r="AM897" s="66"/>
      <c r="AN897"/>
      <c r="AO897"/>
      <c r="AP897"/>
      <c r="AQ897"/>
      <c r="AS897" s="66"/>
      <c r="AT897"/>
      <c r="AU897"/>
      <c r="AV897"/>
      <c r="AW897"/>
      <c r="BK897" s="66"/>
      <c r="BL897"/>
      <c r="BM897"/>
      <c r="BN897"/>
      <c r="BO897"/>
      <c r="BQ897" s="66"/>
      <c r="BR897"/>
      <c r="BS897"/>
      <c r="BT897"/>
      <c r="BU897"/>
    </row>
    <row r="898" spans="39:73" x14ac:dyDescent="0.25">
      <c r="AM898" s="66"/>
      <c r="AN898"/>
      <c r="AO898"/>
      <c r="AP898"/>
      <c r="AQ898"/>
      <c r="AS898" s="66"/>
      <c r="AT898"/>
      <c r="AU898"/>
      <c r="AV898"/>
      <c r="AW898"/>
      <c r="BK898" s="66"/>
      <c r="BL898"/>
      <c r="BM898"/>
      <c r="BN898"/>
      <c r="BO898"/>
      <c r="BQ898" s="66"/>
      <c r="BR898"/>
      <c r="BS898"/>
      <c r="BT898"/>
      <c r="BU898"/>
    </row>
    <row r="899" spans="39:73" x14ac:dyDescent="0.25">
      <c r="AM899" s="66"/>
      <c r="AN899"/>
      <c r="AO899"/>
      <c r="AP899"/>
      <c r="AQ899"/>
      <c r="AS899" s="66"/>
      <c r="AT899"/>
      <c r="AU899"/>
      <c r="AV899"/>
      <c r="AW899"/>
      <c r="BK899" s="66"/>
      <c r="BL899"/>
      <c r="BM899"/>
      <c r="BN899"/>
      <c r="BO899"/>
      <c r="BQ899" s="66"/>
      <c r="BR899"/>
      <c r="BS899"/>
      <c r="BT899"/>
      <c r="BU899"/>
    </row>
    <row r="900" spans="39:73" x14ac:dyDescent="0.25">
      <c r="AM900" s="66"/>
      <c r="AN900"/>
      <c r="AO900"/>
      <c r="AP900"/>
      <c r="AQ900"/>
      <c r="AS900" s="66"/>
      <c r="AT900"/>
      <c r="AU900"/>
      <c r="AV900"/>
      <c r="AW900"/>
      <c r="BK900" s="66"/>
      <c r="BL900"/>
      <c r="BM900"/>
      <c r="BN900"/>
      <c r="BO900"/>
      <c r="BQ900" s="66"/>
      <c r="BR900"/>
      <c r="BS900"/>
      <c r="BT900"/>
      <c r="BU900"/>
    </row>
    <row r="901" spans="39:73" x14ac:dyDescent="0.25">
      <c r="AM901" s="66"/>
      <c r="AN901"/>
      <c r="AO901"/>
      <c r="AP901"/>
      <c r="AQ901"/>
      <c r="AS901" s="66"/>
      <c r="AT901"/>
      <c r="AU901"/>
      <c r="AV901"/>
      <c r="AW901"/>
      <c r="BK901" s="66"/>
      <c r="BL901"/>
      <c r="BM901"/>
      <c r="BN901"/>
      <c r="BO901"/>
      <c r="BQ901" s="66"/>
      <c r="BR901"/>
      <c r="BS901"/>
      <c r="BT901"/>
      <c r="BU901"/>
    </row>
    <row r="902" spans="39:73" x14ac:dyDescent="0.25">
      <c r="AM902" s="66"/>
      <c r="AN902"/>
      <c r="AO902"/>
      <c r="AP902"/>
      <c r="AQ902"/>
      <c r="AS902" s="66"/>
      <c r="AT902"/>
      <c r="AU902"/>
      <c r="AV902"/>
      <c r="AW902"/>
      <c r="BK902" s="66"/>
      <c r="BL902"/>
      <c r="BM902"/>
      <c r="BN902"/>
      <c r="BO902"/>
      <c r="BQ902" s="66"/>
      <c r="BR902"/>
      <c r="BS902"/>
      <c r="BT902"/>
      <c r="BU902"/>
    </row>
    <row r="903" spans="39:73" x14ac:dyDescent="0.25">
      <c r="AM903" s="66"/>
      <c r="AN903"/>
      <c r="AO903"/>
      <c r="AP903"/>
      <c r="AQ903"/>
      <c r="AS903" s="66"/>
      <c r="AT903"/>
      <c r="AU903"/>
      <c r="AV903"/>
      <c r="AW903"/>
      <c r="BK903" s="66"/>
      <c r="BL903"/>
      <c r="BM903"/>
      <c r="BN903"/>
      <c r="BO903"/>
      <c r="BQ903" s="66"/>
      <c r="BR903"/>
      <c r="BS903"/>
      <c r="BT903"/>
      <c r="BU903"/>
    </row>
    <row r="904" spans="39:73" x14ac:dyDescent="0.25">
      <c r="AM904" s="66"/>
      <c r="AN904"/>
      <c r="AO904"/>
      <c r="AP904"/>
      <c r="AQ904"/>
      <c r="AS904" s="66"/>
      <c r="AT904"/>
      <c r="AU904"/>
      <c r="AV904"/>
      <c r="AW904"/>
      <c r="BK904" s="66"/>
      <c r="BL904"/>
      <c r="BM904"/>
      <c r="BN904"/>
      <c r="BO904"/>
      <c r="BQ904" s="66"/>
      <c r="BR904"/>
      <c r="BS904"/>
      <c r="BT904"/>
      <c r="BU904"/>
    </row>
    <row r="905" spans="39:73" x14ac:dyDescent="0.25">
      <c r="AM905" s="66"/>
      <c r="AN905"/>
      <c r="AO905"/>
      <c r="AP905"/>
      <c r="AQ905"/>
      <c r="AS905" s="66"/>
      <c r="AT905"/>
      <c r="AU905"/>
      <c r="AV905"/>
      <c r="AW905"/>
      <c r="BK905" s="66"/>
      <c r="BL905"/>
      <c r="BM905"/>
      <c r="BN905"/>
      <c r="BO905"/>
      <c r="BQ905" s="66"/>
      <c r="BR905"/>
      <c r="BS905"/>
      <c r="BT905"/>
      <c r="BU905"/>
    </row>
    <row r="906" spans="39:73" x14ac:dyDescent="0.25">
      <c r="AM906" s="66"/>
      <c r="AN906"/>
      <c r="AO906"/>
      <c r="AP906"/>
      <c r="AQ906"/>
      <c r="AS906" s="66"/>
      <c r="AT906"/>
      <c r="AU906"/>
      <c r="AV906"/>
      <c r="AW906"/>
      <c r="BK906" s="66"/>
      <c r="BL906"/>
      <c r="BM906"/>
      <c r="BN906"/>
      <c r="BO906"/>
      <c r="BQ906" s="66"/>
      <c r="BR906"/>
      <c r="BS906"/>
      <c r="BT906"/>
      <c r="BU906"/>
    </row>
    <row r="907" spans="39:73" x14ac:dyDescent="0.25">
      <c r="AM907" s="66"/>
      <c r="AN907"/>
      <c r="AO907"/>
      <c r="AP907"/>
      <c r="AQ907"/>
      <c r="AS907" s="66"/>
      <c r="AT907"/>
      <c r="AU907"/>
      <c r="AV907"/>
      <c r="AW907"/>
      <c r="BK907" s="66"/>
      <c r="BL907"/>
      <c r="BM907"/>
      <c r="BN907"/>
      <c r="BO907"/>
      <c r="BQ907" s="66"/>
      <c r="BR907"/>
      <c r="BS907"/>
      <c r="BT907"/>
      <c r="BU907"/>
    </row>
    <row r="908" spans="39:73" x14ac:dyDescent="0.25">
      <c r="AM908" s="66"/>
      <c r="AN908"/>
      <c r="AO908"/>
      <c r="AP908"/>
      <c r="AQ908"/>
      <c r="AS908" s="66"/>
      <c r="AT908"/>
      <c r="AU908"/>
      <c r="AV908"/>
      <c r="AW908"/>
      <c r="BK908" s="66"/>
      <c r="BL908"/>
      <c r="BM908"/>
      <c r="BN908"/>
      <c r="BO908"/>
      <c r="BQ908" s="66"/>
      <c r="BR908"/>
      <c r="BS908"/>
      <c r="BT908"/>
      <c r="BU908"/>
    </row>
    <row r="909" spans="39:73" x14ac:dyDescent="0.25">
      <c r="AM909" s="66"/>
      <c r="AN909"/>
      <c r="AO909"/>
      <c r="AP909"/>
      <c r="AQ909"/>
      <c r="AS909" s="66"/>
      <c r="AT909"/>
      <c r="AU909"/>
      <c r="AV909"/>
      <c r="AW909"/>
      <c r="BK909" s="66"/>
      <c r="BL909"/>
      <c r="BM909"/>
      <c r="BN909"/>
      <c r="BO909"/>
      <c r="BQ909" s="66"/>
      <c r="BR909"/>
      <c r="BS909"/>
      <c r="BT909"/>
      <c r="BU909"/>
    </row>
    <row r="910" spans="39:73" x14ac:dyDescent="0.25">
      <c r="AM910" s="66"/>
      <c r="AN910"/>
      <c r="AO910"/>
      <c r="AP910"/>
      <c r="AQ910"/>
      <c r="AS910" s="66"/>
      <c r="AT910"/>
      <c r="AU910"/>
      <c r="AV910"/>
      <c r="AW910"/>
      <c r="BK910" s="66"/>
      <c r="BL910"/>
      <c r="BM910"/>
      <c r="BN910"/>
      <c r="BO910"/>
      <c r="BQ910" s="66"/>
      <c r="BR910"/>
      <c r="BS910"/>
      <c r="BT910"/>
      <c r="BU910"/>
    </row>
    <row r="911" spans="39:73" x14ac:dyDescent="0.25">
      <c r="AM911" s="66"/>
      <c r="AN911"/>
      <c r="AO911"/>
      <c r="AP911"/>
      <c r="AQ911"/>
      <c r="AS911" s="66"/>
      <c r="AT911"/>
      <c r="AU911"/>
      <c r="AV911"/>
      <c r="AW911"/>
      <c r="BK911" s="66"/>
      <c r="BL911"/>
      <c r="BM911"/>
      <c r="BN911"/>
      <c r="BO911"/>
      <c r="BQ911" s="66"/>
      <c r="BR911"/>
      <c r="BS911"/>
      <c r="BT911"/>
      <c r="BU911"/>
    </row>
    <row r="912" spans="39:73" x14ac:dyDescent="0.25">
      <c r="AM912" s="66"/>
      <c r="AN912"/>
      <c r="AO912"/>
      <c r="AP912"/>
      <c r="AQ912"/>
      <c r="AS912" s="66"/>
      <c r="AT912"/>
      <c r="AU912"/>
      <c r="AV912"/>
      <c r="AW912"/>
      <c r="BK912" s="66"/>
      <c r="BL912"/>
      <c r="BM912"/>
      <c r="BN912"/>
      <c r="BO912"/>
      <c r="BQ912" s="66"/>
      <c r="BR912"/>
      <c r="BS912"/>
      <c r="BT912"/>
      <c r="BU912"/>
    </row>
    <row r="913" spans="39:73" x14ac:dyDescent="0.25">
      <c r="AM913" s="66"/>
      <c r="AN913"/>
      <c r="AO913"/>
      <c r="AP913"/>
      <c r="AQ913"/>
      <c r="AS913" s="66"/>
      <c r="AT913"/>
      <c r="AU913"/>
      <c r="AV913"/>
      <c r="AW913"/>
      <c r="BK913" s="66"/>
      <c r="BL913"/>
      <c r="BM913"/>
      <c r="BN913"/>
      <c r="BO913"/>
      <c r="BQ913" s="66"/>
      <c r="BR913"/>
      <c r="BS913"/>
      <c r="BT913"/>
      <c r="BU913"/>
    </row>
    <row r="914" spans="39:73" x14ac:dyDescent="0.25">
      <c r="AM914" s="66"/>
      <c r="AN914"/>
      <c r="AO914"/>
      <c r="AP914"/>
      <c r="AQ914"/>
      <c r="AS914" s="66"/>
      <c r="AT914"/>
      <c r="AU914"/>
      <c r="AV914"/>
      <c r="AW914"/>
      <c r="BK914" s="66"/>
      <c r="BL914"/>
      <c r="BM914"/>
      <c r="BN914"/>
      <c r="BO914"/>
      <c r="BQ914" s="66"/>
      <c r="BR914"/>
      <c r="BS914"/>
      <c r="BT914"/>
      <c r="BU914"/>
    </row>
    <row r="915" spans="39:73" x14ac:dyDescent="0.25">
      <c r="AM915" s="66"/>
      <c r="AN915"/>
      <c r="AO915"/>
      <c r="AP915"/>
      <c r="AQ915"/>
      <c r="AS915" s="66"/>
      <c r="AT915"/>
      <c r="AU915"/>
      <c r="AV915"/>
      <c r="AW915"/>
      <c r="BK915" s="66"/>
      <c r="BL915"/>
      <c r="BM915"/>
      <c r="BN915"/>
      <c r="BO915"/>
      <c r="BQ915" s="66"/>
      <c r="BR915"/>
      <c r="BS915"/>
      <c r="BT915"/>
      <c r="BU915"/>
    </row>
    <row r="916" spans="39:73" x14ac:dyDescent="0.25">
      <c r="AM916" s="66"/>
      <c r="AN916"/>
      <c r="AO916"/>
      <c r="AP916"/>
      <c r="AQ916"/>
      <c r="AS916" s="66"/>
      <c r="AT916"/>
      <c r="AU916"/>
      <c r="AV916"/>
      <c r="AW916"/>
      <c r="BK916" s="66"/>
      <c r="BL916"/>
      <c r="BM916"/>
      <c r="BN916"/>
      <c r="BO916"/>
      <c r="BQ916" s="66"/>
      <c r="BR916"/>
      <c r="BS916"/>
      <c r="BT916"/>
      <c r="BU916"/>
    </row>
    <row r="917" spans="39:73" x14ac:dyDescent="0.25">
      <c r="AM917" s="66"/>
      <c r="AN917"/>
      <c r="AO917"/>
      <c r="AP917"/>
      <c r="AQ917"/>
      <c r="AS917" s="66"/>
      <c r="AT917"/>
      <c r="AU917"/>
      <c r="AV917"/>
      <c r="AW917"/>
      <c r="BK917" s="66"/>
      <c r="BL917"/>
      <c r="BM917"/>
      <c r="BN917"/>
      <c r="BO917"/>
      <c r="BQ917" s="66"/>
      <c r="BR917"/>
      <c r="BS917"/>
      <c r="BT917"/>
      <c r="BU917"/>
    </row>
    <row r="918" spans="39:73" x14ac:dyDescent="0.25">
      <c r="AM918" s="66"/>
      <c r="AN918"/>
      <c r="AO918"/>
      <c r="AP918"/>
      <c r="AQ918"/>
      <c r="AS918" s="66"/>
      <c r="AT918"/>
      <c r="AU918"/>
      <c r="AV918"/>
      <c r="AW918"/>
      <c r="BK918" s="66"/>
      <c r="BL918"/>
      <c r="BM918"/>
      <c r="BN918"/>
      <c r="BO918"/>
      <c r="BQ918" s="66"/>
      <c r="BR918"/>
      <c r="BS918"/>
      <c r="BT918"/>
      <c r="BU918"/>
    </row>
    <row r="919" spans="39:73" x14ac:dyDescent="0.25">
      <c r="AM919" s="66"/>
      <c r="AN919"/>
      <c r="AO919"/>
      <c r="AP919"/>
      <c r="AQ919"/>
      <c r="AS919" s="66"/>
      <c r="AT919"/>
      <c r="AU919"/>
      <c r="AV919"/>
      <c r="AW919"/>
      <c r="BK919" s="66"/>
      <c r="BL919"/>
      <c r="BM919"/>
      <c r="BN919"/>
      <c r="BO919"/>
      <c r="BQ919" s="66"/>
      <c r="BR919"/>
      <c r="BS919"/>
      <c r="BT919"/>
      <c r="BU919"/>
    </row>
    <row r="920" spans="39:73" x14ac:dyDescent="0.25">
      <c r="AM920" s="66"/>
      <c r="AN920"/>
      <c r="AO920"/>
      <c r="AP920"/>
      <c r="AQ920"/>
      <c r="AS920" s="66"/>
      <c r="AT920"/>
      <c r="AU920"/>
      <c r="AV920"/>
      <c r="AW920"/>
      <c r="BK920" s="66"/>
      <c r="BL920"/>
      <c r="BM920"/>
      <c r="BN920"/>
      <c r="BO920"/>
      <c r="BQ920" s="66"/>
      <c r="BR920"/>
      <c r="BS920"/>
      <c r="BT920"/>
      <c r="BU920"/>
    </row>
    <row r="921" spans="39:73" x14ac:dyDescent="0.25">
      <c r="AM921" s="66"/>
      <c r="AN921"/>
      <c r="AO921"/>
      <c r="AP921"/>
      <c r="AQ921"/>
      <c r="AS921" s="66"/>
      <c r="AT921"/>
      <c r="AU921"/>
      <c r="AV921"/>
      <c r="AW921"/>
      <c r="BK921" s="66"/>
      <c r="BL921"/>
      <c r="BM921"/>
      <c r="BN921"/>
      <c r="BO921"/>
      <c r="BQ921" s="66"/>
      <c r="BR921"/>
      <c r="BS921"/>
      <c r="BT921"/>
      <c r="BU921"/>
    </row>
    <row r="922" spans="39:73" x14ac:dyDescent="0.25">
      <c r="AM922" s="66"/>
      <c r="AN922"/>
      <c r="AO922"/>
      <c r="AP922"/>
      <c r="AQ922"/>
      <c r="AS922" s="66"/>
      <c r="AT922"/>
      <c r="AU922"/>
      <c r="AV922"/>
      <c r="AW922"/>
      <c r="BK922" s="66"/>
      <c r="BL922"/>
      <c r="BM922"/>
      <c r="BN922"/>
      <c r="BO922"/>
      <c r="BQ922" s="66"/>
      <c r="BR922"/>
      <c r="BS922"/>
      <c r="BT922"/>
      <c r="BU922"/>
    </row>
    <row r="923" spans="39:73" x14ac:dyDescent="0.25">
      <c r="AM923" s="66"/>
      <c r="AN923"/>
      <c r="AO923"/>
      <c r="AP923"/>
      <c r="AQ923"/>
      <c r="AS923" s="66"/>
      <c r="AT923"/>
      <c r="AU923"/>
      <c r="AV923"/>
      <c r="AW923"/>
      <c r="BK923" s="66"/>
      <c r="BL923"/>
      <c r="BM923"/>
      <c r="BN923"/>
      <c r="BO923"/>
      <c r="BQ923" s="66"/>
      <c r="BR923"/>
      <c r="BS923"/>
      <c r="BT923"/>
      <c r="BU923"/>
    </row>
    <row r="924" spans="39:73" x14ac:dyDescent="0.25">
      <c r="AM924" s="66"/>
      <c r="AN924"/>
      <c r="AO924"/>
      <c r="AP924"/>
      <c r="AQ924"/>
      <c r="AS924" s="66"/>
      <c r="AT924"/>
      <c r="AU924"/>
      <c r="AV924"/>
      <c r="AW924"/>
      <c r="BK924" s="66"/>
      <c r="BL924"/>
      <c r="BM924"/>
      <c r="BN924"/>
      <c r="BO924"/>
      <c r="BQ924" s="66"/>
      <c r="BR924"/>
      <c r="BS924"/>
      <c r="BT924"/>
      <c r="BU924"/>
    </row>
    <row r="925" spans="39:73" x14ac:dyDescent="0.25">
      <c r="AM925" s="66"/>
      <c r="AN925"/>
      <c r="AO925"/>
      <c r="AP925"/>
      <c r="AQ925"/>
      <c r="AS925" s="66"/>
      <c r="AT925"/>
      <c r="AU925"/>
      <c r="AV925"/>
      <c r="AW925"/>
      <c r="BK925" s="66"/>
      <c r="BL925"/>
      <c r="BM925"/>
      <c r="BN925"/>
      <c r="BO925"/>
      <c r="BQ925" s="66"/>
      <c r="BR925"/>
      <c r="BS925"/>
      <c r="BT925"/>
      <c r="BU925"/>
    </row>
    <row r="926" spans="39:73" x14ac:dyDescent="0.25">
      <c r="AM926" s="66"/>
      <c r="AN926"/>
      <c r="AO926"/>
      <c r="AP926"/>
      <c r="AQ926"/>
      <c r="AS926" s="66"/>
      <c r="AT926"/>
      <c r="AU926"/>
      <c r="AV926"/>
      <c r="AW926"/>
      <c r="BK926" s="66"/>
      <c r="BL926"/>
      <c r="BM926"/>
      <c r="BN926"/>
      <c r="BO926"/>
      <c r="BQ926" s="66"/>
      <c r="BR926"/>
      <c r="BS926"/>
      <c r="BT926"/>
      <c r="BU926"/>
    </row>
    <row r="927" spans="39:73" x14ac:dyDescent="0.25">
      <c r="AM927" s="66"/>
      <c r="AN927"/>
      <c r="AO927"/>
      <c r="AP927"/>
      <c r="AQ927"/>
      <c r="AS927" s="66"/>
      <c r="AT927"/>
      <c r="AU927"/>
      <c r="AV927"/>
      <c r="AW927"/>
      <c r="BK927" s="66"/>
      <c r="BL927"/>
      <c r="BM927"/>
      <c r="BN927"/>
      <c r="BO927"/>
      <c r="BQ927" s="66"/>
      <c r="BR927"/>
      <c r="BS927"/>
      <c r="BT927"/>
      <c r="BU927"/>
    </row>
    <row r="928" spans="39:73" x14ac:dyDescent="0.25">
      <c r="AM928" s="66"/>
      <c r="AN928"/>
      <c r="AO928"/>
      <c r="AP928"/>
      <c r="AQ928"/>
      <c r="AS928" s="66"/>
      <c r="AT928"/>
      <c r="AU928"/>
      <c r="AV928"/>
      <c r="AW928"/>
      <c r="BK928" s="66"/>
      <c r="BL928"/>
      <c r="BM928"/>
      <c r="BN928"/>
      <c r="BO928"/>
      <c r="BQ928" s="66"/>
      <c r="BR928"/>
      <c r="BS928"/>
      <c r="BT928"/>
      <c r="BU928"/>
    </row>
    <row r="929" spans="39:73" x14ac:dyDescent="0.25">
      <c r="AM929" s="66"/>
      <c r="AN929"/>
      <c r="AO929"/>
      <c r="AP929"/>
      <c r="AQ929"/>
      <c r="AS929" s="66"/>
      <c r="AT929"/>
      <c r="AU929"/>
      <c r="AV929"/>
      <c r="AW929"/>
      <c r="BK929" s="66"/>
      <c r="BL929"/>
      <c r="BM929"/>
      <c r="BN929"/>
      <c r="BO929"/>
      <c r="BQ929" s="66"/>
      <c r="BR929"/>
      <c r="BS929"/>
      <c r="BT929"/>
      <c r="BU929"/>
    </row>
    <row r="930" spans="39:73" x14ac:dyDescent="0.25">
      <c r="AM930" s="66"/>
      <c r="AN930"/>
      <c r="AO930"/>
      <c r="AP930"/>
      <c r="AQ930"/>
      <c r="AS930" s="66"/>
      <c r="AT930"/>
      <c r="AU930"/>
      <c r="AV930"/>
      <c r="AW930"/>
      <c r="BK930" s="66"/>
      <c r="BL930"/>
      <c r="BM930"/>
      <c r="BN930"/>
      <c r="BO930"/>
      <c r="BQ930" s="66"/>
      <c r="BR930"/>
      <c r="BS930"/>
      <c r="BT930"/>
      <c r="BU930"/>
    </row>
    <row r="931" spans="39:73" x14ac:dyDescent="0.25">
      <c r="AM931" s="66"/>
      <c r="AN931"/>
      <c r="AO931"/>
      <c r="AP931"/>
      <c r="AQ931"/>
      <c r="AS931" s="66"/>
      <c r="AT931"/>
      <c r="AU931"/>
      <c r="AV931"/>
      <c r="AW931"/>
      <c r="BK931" s="66"/>
      <c r="BL931"/>
      <c r="BM931"/>
      <c r="BN931"/>
      <c r="BO931"/>
      <c r="BQ931" s="66"/>
      <c r="BR931"/>
      <c r="BS931"/>
      <c r="BT931"/>
      <c r="BU931"/>
    </row>
    <row r="932" spans="39:73" x14ac:dyDescent="0.25">
      <c r="AM932" s="66"/>
      <c r="AN932"/>
      <c r="AO932"/>
      <c r="AP932"/>
      <c r="AQ932"/>
      <c r="AS932" s="66"/>
      <c r="AT932"/>
      <c r="AU932"/>
      <c r="AV932"/>
      <c r="AW932"/>
      <c r="BK932" s="66"/>
      <c r="BL932"/>
      <c r="BM932"/>
      <c r="BN932"/>
      <c r="BO932"/>
      <c r="BQ932" s="66"/>
      <c r="BR932"/>
      <c r="BS932"/>
      <c r="BT932"/>
      <c r="BU932"/>
    </row>
    <row r="933" spans="39:73" x14ac:dyDescent="0.25">
      <c r="AM933" s="66"/>
      <c r="AN933"/>
      <c r="AO933"/>
      <c r="AP933"/>
      <c r="AQ933"/>
      <c r="AS933" s="66"/>
      <c r="AT933"/>
      <c r="AU933"/>
      <c r="AV933"/>
      <c r="AW933"/>
      <c r="BK933" s="66"/>
      <c r="BL933"/>
      <c r="BM933"/>
      <c r="BN933"/>
      <c r="BO933"/>
      <c r="BQ933" s="66"/>
      <c r="BR933"/>
      <c r="BS933"/>
      <c r="BT933"/>
      <c r="BU933"/>
    </row>
    <row r="934" spans="39:73" x14ac:dyDescent="0.25">
      <c r="AM934" s="66"/>
      <c r="AN934"/>
      <c r="AO934"/>
      <c r="AP934"/>
      <c r="AQ934"/>
      <c r="AS934" s="66"/>
      <c r="AT934"/>
      <c r="AU934"/>
      <c r="AV934"/>
      <c r="AW934"/>
      <c r="BK934" s="66"/>
      <c r="BL934"/>
      <c r="BM934"/>
      <c r="BN934"/>
      <c r="BO934"/>
      <c r="BQ934" s="66"/>
      <c r="BR934"/>
      <c r="BS934"/>
      <c r="BT934"/>
      <c r="BU934"/>
    </row>
    <row r="935" spans="39:73" x14ac:dyDescent="0.25">
      <c r="AM935" s="66"/>
      <c r="AN935"/>
      <c r="AO935"/>
      <c r="AP935"/>
      <c r="AQ935"/>
      <c r="AS935" s="66"/>
      <c r="AT935"/>
      <c r="AU935"/>
      <c r="AV935"/>
      <c r="AW935"/>
      <c r="BK935" s="66"/>
      <c r="BL935"/>
      <c r="BM935"/>
      <c r="BN935"/>
      <c r="BO935"/>
      <c r="BQ935" s="66"/>
      <c r="BR935"/>
      <c r="BS935"/>
      <c r="BT935"/>
      <c r="BU935"/>
    </row>
    <row r="936" spans="39:73" x14ac:dyDescent="0.25">
      <c r="AM936" s="66"/>
      <c r="AN936"/>
      <c r="AO936"/>
      <c r="AP936"/>
      <c r="AQ936"/>
      <c r="AS936" s="66"/>
      <c r="AT936"/>
      <c r="AU936"/>
      <c r="AV936"/>
      <c r="AW936"/>
      <c r="BK936" s="66"/>
      <c r="BL936"/>
      <c r="BM936"/>
      <c r="BN936"/>
      <c r="BO936"/>
      <c r="BQ936" s="66"/>
      <c r="BR936"/>
      <c r="BS936"/>
      <c r="BT936"/>
      <c r="BU936"/>
    </row>
    <row r="937" spans="39:73" x14ac:dyDescent="0.25">
      <c r="AM937" s="66"/>
      <c r="AN937"/>
      <c r="AO937"/>
      <c r="AP937"/>
      <c r="AQ937"/>
      <c r="AS937" s="66"/>
      <c r="AT937"/>
      <c r="AU937"/>
      <c r="AV937"/>
      <c r="AW937"/>
      <c r="BK937" s="66"/>
      <c r="BL937"/>
      <c r="BM937"/>
      <c r="BN937"/>
      <c r="BO937"/>
      <c r="BQ937" s="66"/>
      <c r="BR937"/>
      <c r="BS937"/>
      <c r="BT937"/>
      <c r="BU937"/>
    </row>
    <row r="938" spans="39:73" x14ac:dyDescent="0.25">
      <c r="AM938" s="66"/>
      <c r="AN938"/>
      <c r="AO938"/>
      <c r="AP938"/>
      <c r="AQ938"/>
      <c r="AS938" s="66"/>
      <c r="AT938"/>
      <c r="AU938"/>
      <c r="AV938"/>
      <c r="AW938"/>
      <c r="BK938" s="66"/>
      <c r="BL938"/>
      <c r="BM938"/>
      <c r="BN938"/>
      <c r="BO938"/>
      <c r="BQ938" s="66"/>
      <c r="BR938"/>
      <c r="BS938"/>
      <c r="BT938"/>
      <c r="BU938"/>
    </row>
    <row r="939" spans="39:73" x14ac:dyDescent="0.25">
      <c r="AM939" s="66"/>
      <c r="AN939"/>
      <c r="AO939"/>
      <c r="AP939"/>
      <c r="AQ939"/>
      <c r="AS939" s="66"/>
      <c r="AT939"/>
      <c r="AU939"/>
      <c r="AV939"/>
      <c r="AW939"/>
      <c r="BK939" s="66"/>
      <c r="BL939"/>
      <c r="BM939"/>
      <c r="BN939"/>
      <c r="BO939"/>
      <c r="BQ939" s="66"/>
      <c r="BR939"/>
      <c r="BS939"/>
      <c r="BT939"/>
      <c r="BU939"/>
    </row>
    <row r="940" spans="39:73" x14ac:dyDescent="0.25">
      <c r="AM940" s="66"/>
      <c r="AN940"/>
      <c r="AO940"/>
      <c r="AP940"/>
      <c r="AQ940"/>
      <c r="AS940" s="66"/>
      <c r="AT940"/>
      <c r="AU940"/>
      <c r="AV940"/>
      <c r="AW940"/>
      <c r="BK940" s="66"/>
      <c r="BL940"/>
      <c r="BM940"/>
      <c r="BN940"/>
      <c r="BO940"/>
      <c r="BQ940" s="66"/>
      <c r="BR940"/>
      <c r="BS940"/>
      <c r="BT940"/>
      <c r="BU940"/>
    </row>
    <row r="941" spans="39:73" x14ac:dyDescent="0.25">
      <c r="AM941" s="66"/>
      <c r="AN941"/>
      <c r="AO941"/>
      <c r="AP941"/>
      <c r="AQ941"/>
      <c r="AS941" s="66"/>
      <c r="AT941"/>
      <c r="AU941"/>
      <c r="AV941"/>
      <c r="AW941"/>
      <c r="BK941" s="66"/>
      <c r="BL941"/>
      <c r="BM941"/>
      <c r="BN941"/>
      <c r="BO941"/>
      <c r="BQ941" s="66"/>
      <c r="BR941"/>
      <c r="BS941"/>
      <c r="BT941"/>
      <c r="BU941"/>
    </row>
    <row r="942" spans="39:73" x14ac:dyDescent="0.25">
      <c r="AM942" s="66"/>
      <c r="AN942"/>
      <c r="AO942"/>
      <c r="AP942"/>
      <c r="AQ942"/>
      <c r="AS942" s="66"/>
      <c r="AT942"/>
      <c r="AU942"/>
      <c r="AV942"/>
      <c r="AW942"/>
      <c r="BK942" s="66"/>
      <c r="BL942"/>
      <c r="BM942"/>
      <c r="BN942"/>
      <c r="BO942"/>
      <c r="BQ942" s="66"/>
      <c r="BR942"/>
      <c r="BS942"/>
      <c r="BT942"/>
      <c r="BU942"/>
    </row>
    <row r="943" spans="39:73" x14ac:dyDescent="0.25">
      <c r="AM943" s="66"/>
      <c r="AN943"/>
      <c r="AO943"/>
      <c r="AP943"/>
      <c r="AQ943"/>
      <c r="AS943" s="66"/>
      <c r="AT943"/>
      <c r="AU943"/>
      <c r="AV943"/>
      <c r="AW943"/>
      <c r="BK943" s="66"/>
      <c r="BL943"/>
      <c r="BM943"/>
      <c r="BN943"/>
      <c r="BO943"/>
      <c r="BQ943" s="66"/>
      <c r="BR943"/>
      <c r="BS943"/>
      <c r="BT943"/>
      <c r="BU943"/>
    </row>
    <row r="944" spans="39:73" x14ac:dyDescent="0.25">
      <c r="AM944" s="66"/>
      <c r="AN944"/>
      <c r="AO944"/>
      <c r="AP944"/>
      <c r="AQ944"/>
      <c r="AS944" s="66"/>
      <c r="AT944"/>
      <c r="AU944"/>
      <c r="AV944"/>
      <c r="AW944"/>
      <c r="BK944" s="66"/>
      <c r="BL944"/>
      <c r="BM944"/>
      <c r="BN944"/>
      <c r="BO944"/>
      <c r="BQ944" s="66"/>
      <c r="BR944"/>
      <c r="BS944"/>
      <c r="BT944"/>
      <c r="BU944"/>
    </row>
    <row r="945" spans="39:73" x14ac:dyDescent="0.25">
      <c r="AM945" s="66"/>
      <c r="AN945"/>
      <c r="AO945"/>
      <c r="AP945"/>
      <c r="AQ945"/>
      <c r="AS945" s="66"/>
      <c r="AT945"/>
      <c r="AU945"/>
      <c r="AV945"/>
      <c r="AW945"/>
      <c r="BK945" s="66"/>
      <c r="BL945"/>
      <c r="BM945"/>
      <c r="BN945"/>
      <c r="BO945"/>
      <c r="BQ945" s="66"/>
      <c r="BR945"/>
      <c r="BS945"/>
      <c r="BT945"/>
      <c r="BU945"/>
    </row>
    <row r="946" spans="39:73" x14ac:dyDescent="0.25">
      <c r="AM946" s="66"/>
      <c r="AN946"/>
      <c r="AO946"/>
      <c r="AP946"/>
      <c r="AQ946"/>
      <c r="AS946" s="66"/>
      <c r="AT946"/>
      <c r="AU946"/>
      <c r="AV946"/>
      <c r="AW946"/>
      <c r="BK946" s="66"/>
      <c r="BL946"/>
      <c r="BM946"/>
      <c r="BN946"/>
      <c r="BO946"/>
      <c r="BQ946" s="66"/>
      <c r="BR946"/>
      <c r="BS946"/>
      <c r="BT946"/>
      <c r="BU946"/>
    </row>
    <row r="947" spans="39:73" x14ac:dyDescent="0.25">
      <c r="AM947" s="66"/>
      <c r="AN947"/>
      <c r="AO947"/>
      <c r="AP947"/>
      <c r="AQ947"/>
      <c r="AS947" s="66"/>
      <c r="AT947"/>
      <c r="AU947"/>
      <c r="AV947"/>
      <c r="AW947"/>
      <c r="BK947" s="66"/>
      <c r="BL947"/>
      <c r="BM947"/>
      <c r="BN947"/>
      <c r="BO947"/>
      <c r="BQ947" s="66"/>
      <c r="BR947"/>
      <c r="BS947"/>
      <c r="BT947"/>
      <c r="BU947"/>
    </row>
    <row r="948" spans="39:73" x14ac:dyDescent="0.25">
      <c r="AM948" s="66"/>
      <c r="AN948"/>
      <c r="AO948"/>
      <c r="AP948"/>
      <c r="AQ948"/>
      <c r="AS948" s="66"/>
      <c r="AT948"/>
      <c r="AU948"/>
      <c r="AV948"/>
      <c r="AW948"/>
      <c r="BK948" s="66"/>
      <c r="BL948"/>
      <c r="BM948"/>
      <c r="BN948"/>
      <c r="BO948"/>
      <c r="BQ948" s="66"/>
      <c r="BR948"/>
      <c r="BS948"/>
      <c r="BT948"/>
      <c r="BU948"/>
    </row>
    <row r="949" spans="39:73" x14ac:dyDescent="0.25">
      <c r="AM949" s="66"/>
      <c r="AN949"/>
      <c r="AO949"/>
      <c r="AP949"/>
      <c r="AQ949"/>
      <c r="AS949" s="66"/>
      <c r="AT949"/>
      <c r="AU949"/>
      <c r="AV949"/>
      <c r="AW949"/>
      <c r="BK949" s="66"/>
      <c r="BL949"/>
      <c r="BM949"/>
      <c r="BN949"/>
      <c r="BO949"/>
      <c r="BQ949" s="66"/>
      <c r="BR949"/>
      <c r="BS949"/>
      <c r="BT949"/>
      <c r="BU949"/>
    </row>
    <row r="950" spans="39:73" x14ac:dyDescent="0.25">
      <c r="AM950" s="66"/>
      <c r="AN950"/>
      <c r="AO950"/>
      <c r="AP950"/>
      <c r="AQ950"/>
      <c r="AS950" s="66"/>
      <c r="AT950"/>
      <c r="AU950"/>
      <c r="AV950"/>
      <c r="AW950"/>
      <c r="BK950" s="66"/>
      <c r="BL950"/>
      <c r="BM950"/>
      <c r="BN950"/>
      <c r="BO950"/>
      <c r="BQ950" s="66"/>
      <c r="BR950"/>
      <c r="BS950"/>
      <c r="BT950"/>
      <c r="BU950"/>
    </row>
    <row r="951" spans="39:73" x14ac:dyDescent="0.25">
      <c r="AM951" s="66"/>
      <c r="AN951"/>
      <c r="AO951"/>
      <c r="AP951"/>
      <c r="AQ951"/>
      <c r="AS951" s="66"/>
      <c r="AT951"/>
      <c r="AU951"/>
      <c r="AV951"/>
      <c r="AW951"/>
      <c r="BK951" s="66"/>
      <c r="BL951"/>
      <c r="BM951"/>
      <c r="BN951"/>
      <c r="BO951"/>
      <c r="BQ951" s="66"/>
      <c r="BR951"/>
      <c r="BS951"/>
      <c r="BT951"/>
      <c r="BU951"/>
    </row>
    <row r="952" spans="39:73" x14ac:dyDescent="0.25">
      <c r="AM952" s="66"/>
      <c r="AN952"/>
      <c r="AO952"/>
      <c r="AP952"/>
      <c r="AQ952"/>
      <c r="AS952" s="66"/>
      <c r="AT952"/>
      <c r="AU952"/>
      <c r="AV952"/>
      <c r="AW952"/>
      <c r="BK952" s="66"/>
      <c r="BL952"/>
      <c r="BM952"/>
      <c r="BN952"/>
      <c r="BO952"/>
      <c r="BQ952" s="66"/>
      <c r="BR952"/>
      <c r="BS952"/>
      <c r="BT952"/>
      <c r="BU952"/>
    </row>
    <row r="953" spans="39:73" x14ac:dyDescent="0.25">
      <c r="AM953" s="66"/>
      <c r="AN953"/>
      <c r="AO953"/>
      <c r="AP953"/>
      <c r="AQ953"/>
      <c r="AS953" s="66"/>
      <c r="AT953"/>
      <c r="AU953"/>
      <c r="AV953"/>
      <c r="AW953"/>
      <c r="BK953" s="66"/>
      <c r="BL953"/>
      <c r="BM953"/>
      <c r="BN953"/>
      <c r="BO953"/>
      <c r="BQ953" s="66"/>
      <c r="BR953"/>
      <c r="BS953"/>
      <c r="BT953"/>
      <c r="BU953"/>
    </row>
    <row r="954" spans="39:73" x14ac:dyDescent="0.25">
      <c r="AM954" s="66"/>
      <c r="AN954"/>
      <c r="AO954"/>
      <c r="AP954"/>
      <c r="AQ954"/>
      <c r="AS954" s="66"/>
      <c r="AT954"/>
      <c r="AU954"/>
      <c r="AV954"/>
      <c r="AW954"/>
      <c r="BK954" s="66"/>
      <c r="BL954"/>
      <c r="BM954"/>
      <c r="BN954"/>
      <c r="BO954"/>
      <c r="BQ954" s="66"/>
      <c r="BR954"/>
      <c r="BS954"/>
      <c r="BT954"/>
      <c r="BU954"/>
    </row>
    <row r="955" spans="39:73" x14ac:dyDescent="0.25">
      <c r="AM955" s="66"/>
      <c r="AN955"/>
      <c r="AO955"/>
      <c r="AP955"/>
      <c r="AQ955"/>
      <c r="AS955" s="66"/>
      <c r="AT955"/>
      <c r="AU955"/>
      <c r="AV955"/>
      <c r="AW955"/>
      <c r="BK955" s="66"/>
      <c r="BL955"/>
      <c r="BM955"/>
      <c r="BN955"/>
      <c r="BO955"/>
      <c r="BQ955" s="66"/>
      <c r="BR955"/>
      <c r="BS955"/>
      <c r="BT955"/>
      <c r="BU955"/>
    </row>
    <row r="956" spans="39:73" x14ac:dyDescent="0.25">
      <c r="AM956" s="66"/>
      <c r="AN956"/>
      <c r="AO956"/>
      <c r="AP956"/>
      <c r="AQ956"/>
      <c r="AS956" s="66"/>
      <c r="AT956"/>
      <c r="AU956"/>
      <c r="AV956"/>
      <c r="AW956"/>
      <c r="BK956" s="66"/>
      <c r="BL956"/>
      <c r="BM956"/>
      <c r="BN956"/>
      <c r="BO956"/>
      <c r="BQ956" s="66"/>
      <c r="BR956"/>
      <c r="BS956"/>
      <c r="BT956"/>
      <c r="BU956"/>
    </row>
    <row r="957" spans="39:73" x14ac:dyDescent="0.25">
      <c r="AM957" s="66"/>
      <c r="AN957"/>
      <c r="AO957"/>
      <c r="AP957"/>
      <c r="AQ957"/>
      <c r="AS957" s="66"/>
      <c r="AT957"/>
      <c r="AU957"/>
      <c r="AV957"/>
      <c r="AW957"/>
      <c r="BK957" s="66"/>
      <c r="BL957"/>
      <c r="BM957"/>
      <c r="BN957"/>
      <c r="BO957"/>
      <c r="BQ957" s="66"/>
      <c r="BR957"/>
      <c r="BS957"/>
      <c r="BT957"/>
      <c r="BU957"/>
    </row>
    <row r="958" spans="39:73" x14ac:dyDescent="0.25">
      <c r="AM958" s="66"/>
      <c r="AN958"/>
      <c r="AO958"/>
      <c r="AP958"/>
      <c r="AQ958"/>
      <c r="AS958" s="66"/>
      <c r="AT958"/>
      <c r="AU958"/>
      <c r="AV958"/>
      <c r="AW958"/>
      <c r="BK958" s="66"/>
      <c r="BL958"/>
      <c r="BM958"/>
      <c r="BN958"/>
      <c r="BO958"/>
      <c r="BQ958" s="66"/>
      <c r="BR958"/>
      <c r="BS958"/>
      <c r="BT958"/>
      <c r="BU958"/>
    </row>
    <row r="959" spans="39:73" x14ac:dyDescent="0.25">
      <c r="AM959" s="66"/>
      <c r="AN959"/>
      <c r="AO959"/>
      <c r="AP959"/>
      <c r="AQ959"/>
      <c r="AS959" s="66"/>
      <c r="AT959"/>
      <c r="AU959"/>
      <c r="AV959"/>
      <c r="AW959"/>
      <c r="BK959" s="66"/>
      <c r="BL959"/>
      <c r="BM959"/>
      <c r="BN959"/>
      <c r="BO959"/>
      <c r="BQ959" s="66"/>
      <c r="BR959"/>
      <c r="BS959"/>
      <c r="BT959"/>
      <c r="BU959"/>
    </row>
    <row r="960" spans="39:73" x14ac:dyDescent="0.25">
      <c r="AM960" s="66"/>
      <c r="AN960"/>
      <c r="AO960"/>
      <c r="AP960"/>
      <c r="AQ960"/>
      <c r="AS960" s="66"/>
      <c r="AT960"/>
      <c r="AU960"/>
      <c r="AV960"/>
      <c r="AW960"/>
      <c r="BK960" s="66"/>
      <c r="BL960"/>
      <c r="BM960"/>
      <c r="BN960"/>
      <c r="BO960"/>
      <c r="BQ960" s="66"/>
      <c r="BR960"/>
      <c r="BS960"/>
      <c r="BT960"/>
      <c r="BU960"/>
    </row>
    <row r="961" spans="39:73" x14ac:dyDescent="0.25">
      <c r="AM961" s="66"/>
      <c r="AN961"/>
      <c r="AO961"/>
      <c r="AP961"/>
      <c r="AQ961"/>
      <c r="AS961" s="66"/>
      <c r="AT961"/>
      <c r="AU961"/>
      <c r="AV961"/>
      <c r="AW961"/>
      <c r="BK961" s="66"/>
      <c r="BL961"/>
      <c r="BM961"/>
      <c r="BN961"/>
      <c r="BO961"/>
      <c r="BQ961" s="66"/>
      <c r="BR961"/>
      <c r="BS961"/>
      <c r="BT961"/>
      <c r="BU961"/>
    </row>
    <row r="962" spans="39:73" x14ac:dyDescent="0.25">
      <c r="AM962" s="66"/>
      <c r="AN962"/>
      <c r="AO962"/>
      <c r="AP962"/>
      <c r="AQ962"/>
      <c r="AS962" s="66"/>
      <c r="AT962"/>
      <c r="AU962"/>
      <c r="AV962"/>
      <c r="AW962"/>
      <c r="BK962" s="66"/>
      <c r="BL962"/>
      <c r="BM962"/>
      <c r="BN962"/>
      <c r="BO962"/>
      <c r="BQ962" s="66"/>
      <c r="BR962"/>
      <c r="BS962"/>
      <c r="BT962"/>
      <c r="BU962"/>
    </row>
    <row r="963" spans="39:73" x14ac:dyDescent="0.25">
      <c r="AM963" s="66"/>
      <c r="AN963"/>
      <c r="AO963"/>
      <c r="AP963"/>
      <c r="AQ963"/>
      <c r="AS963" s="66"/>
      <c r="AT963"/>
      <c r="AU963"/>
      <c r="AV963"/>
      <c r="AW963"/>
      <c r="BK963" s="66"/>
      <c r="BL963"/>
      <c r="BM963"/>
      <c r="BN963"/>
      <c r="BO963"/>
      <c r="BQ963" s="66"/>
      <c r="BR963"/>
      <c r="BS963"/>
      <c r="BT963"/>
      <c r="BU963"/>
    </row>
    <row r="964" spans="39:73" x14ac:dyDescent="0.25">
      <c r="AM964" s="66"/>
      <c r="AN964"/>
      <c r="AO964"/>
      <c r="AP964"/>
      <c r="AQ964"/>
      <c r="AS964" s="66"/>
      <c r="AT964"/>
      <c r="AU964"/>
      <c r="AV964"/>
      <c r="AW964"/>
      <c r="BK964" s="66"/>
      <c r="BL964"/>
      <c r="BM964"/>
      <c r="BN964"/>
      <c r="BO964"/>
      <c r="BQ964" s="66"/>
      <c r="BR964"/>
      <c r="BS964"/>
      <c r="BT964"/>
      <c r="BU964"/>
    </row>
    <row r="965" spans="39:73" x14ac:dyDescent="0.25">
      <c r="AM965" s="66"/>
      <c r="AN965"/>
      <c r="AO965"/>
      <c r="AP965"/>
      <c r="AQ965"/>
      <c r="AS965" s="66"/>
      <c r="AT965"/>
      <c r="AU965"/>
      <c r="AV965"/>
      <c r="AW965"/>
      <c r="BK965" s="66"/>
      <c r="BL965"/>
      <c r="BM965"/>
      <c r="BN965"/>
      <c r="BO965"/>
      <c r="BQ965" s="66"/>
      <c r="BR965"/>
      <c r="BS965"/>
      <c r="BT965"/>
      <c r="BU965"/>
    </row>
    <row r="966" spans="39:73" x14ac:dyDescent="0.25">
      <c r="AM966" s="66"/>
      <c r="AN966"/>
      <c r="AO966"/>
      <c r="AP966"/>
      <c r="AQ966"/>
      <c r="AS966" s="66"/>
      <c r="AT966"/>
      <c r="AU966"/>
      <c r="AV966"/>
      <c r="AW966"/>
      <c r="BK966" s="66"/>
      <c r="BL966"/>
      <c r="BM966"/>
      <c r="BN966"/>
      <c r="BO966"/>
      <c r="BQ966" s="66"/>
      <c r="BR966"/>
      <c r="BS966"/>
      <c r="BT966"/>
      <c r="BU966"/>
    </row>
    <row r="967" spans="39:73" x14ac:dyDescent="0.25">
      <c r="AM967" s="66"/>
      <c r="AN967"/>
      <c r="AO967"/>
      <c r="AP967"/>
      <c r="AQ967"/>
      <c r="AS967" s="66"/>
      <c r="AT967"/>
      <c r="AU967"/>
      <c r="AV967"/>
      <c r="AW967"/>
      <c r="BK967" s="66"/>
      <c r="BL967"/>
      <c r="BM967"/>
      <c r="BN967"/>
      <c r="BO967"/>
      <c r="BQ967" s="66"/>
      <c r="BR967"/>
      <c r="BS967"/>
      <c r="BT967"/>
      <c r="BU967"/>
    </row>
    <row r="968" spans="39:73" x14ac:dyDescent="0.25">
      <c r="AM968" s="66"/>
      <c r="AN968"/>
      <c r="AO968"/>
      <c r="AP968"/>
      <c r="AQ968"/>
      <c r="AS968" s="66"/>
      <c r="AT968"/>
      <c r="AU968"/>
      <c r="AV968"/>
      <c r="AW968"/>
      <c r="BK968" s="66"/>
      <c r="BL968"/>
      <c r="BM968"/>
      <c r="BN968"/>
      <c r="BO968"/>
      <c r="BQ968" s="66"/>
      <c r="BR968"/>
      <c r="BS968"/>
      <c r="BT968"/>
      <c r="BU968"/>
    </row>
    <row r="969" spans="39:73" x14ac:dyDescent="0.25">
      <c r="AM969" s="66"/>
      <c r="AN969"/>
      <c r="AO969"/>
      <c r="AP969"/>
      <c r="AQ969"/>
      <c r="AS969" s="66"/>
      <c r="AT969"/>
      <c r="AU969"/>
      <c r="AV969"/>
      <c r="AW969"/>
      <c r="BK969" s="66"/>
      <c r="BL969"/>
      <c r="BM969"/>
      <c r="BN969"/>
      <c r="BO969"/>
      <c r="BQ969" s="66"/>
      <c r="BR969"/>
      <c r="BS969"/>
      <c r="BT969"/>
      <c r="BU969"/>
    </row>
    <row r="970" spans="39:73" x14ac:dyDescent="0.25">
      <c r="AM970" s="66"/>
      <c r="AN970"/>
      <c r="AO970"/>
      <c r="AP970"/>
      <c r="AQ970"/>
      <c r="AS970" s="66"/>
      <c r="AT970"/>
      <c r="AU970"/>
      <c r="AV970"/>
      <c r="AW970"/>
      <c r="BK970" s="66"/>
      <c r="BL970"/>
      <c r="BM970"/>
      <c r="BN970"/>
      <c r="BO970"/>
      <c r="BQ970" s="66"/>
      <c r="BR970"/>
      <c r="BS970"/>
      <c r="BT970"/>
      <c r="BU970"/>
    </row>
    <row r="971" spans="39:73" x14ac:dyDescent="0.25">
      <c r="AM971" s="66"/>
      <c r="AN971"/>
      <c r="AO971"/>
      <c r="AP971"/>
      <c r="AQ971"/>
      <c r="AS971" s="66"/>
      <c r="AT971"/>
      <c r="AU971"/>
      <c r="AV971"/>
      <c r="AW971"/>
      <c r="BK971" s="66"/>
      <c r="BL971"/>
      <c r="BM971"/>
      <c r="BN971"/>
      <c r="BO971"/>
      <c r="BQ971" s="66"/>
      <c r="BR971"/>
      <c r="BS971"/>
      <c r="BT971"/>
      <c r="BU971"/>
    </row>
    <row r="972" spans="39:73" x14ac:dyDescent="0.25">
      <c r="AM972" s="66"/>
      <c r="AN972"/>
      <c r="AO972"/>
      <c r="AP972"/>
      <c r="AQ972"/>
      <c r="AS972" s="66"/>
      <c r="AT972"/>
      <c r="AU972"/>
      <c r="AV972"/>
      <c r="AW972"/>
      <c r="BK972" s="66"/>
      <c r="BL972"/>
      <c r="BM972"/>
      <c r="BN972"/>
      <c r="BO972"/>
      <c r="BQ972" s="66"/>
      <c r="BR972"/>
      <c r="BS972"/>
      <c r="BT972"/>
      <c r="BU972"/>
    </row>
    <row r="973" spans="39:73" x14ac:dyDescent="0.25">
      <c r="AM973" s="66"/>
      <c r="AN973"/>
      <c r="AO973"/>
      <c r="AP973"/>
      <c r="AQ973"/>
      <c r="AS973" s="66"/>
      <c r="AT973"/>
      <c r="AU973"/>
      <c r="AV973"/>
      <c r="AW973"/>
      <c r="BK973" s="66"/>
      <c r="BL973"/>
      <c r="BM973"/>
      <c r="BN973"/>
      <c r="BO973"/>
      <c r="BQ973" s="66"/>
      <c r="BR973"/>
      <c r="BS973"/>
      <c r="BT973"/>
      <c r="BU973"/>
    </row>
    <row r="974" spans="39:73" x14ac:dyDescent="0.25">
      <c r="AM974" s="66"/>
      <c r="AN974"/>
      <c r="AO974"/>
      <c r="AP974"/>
      <c r="AQ974"/>
      <c r="AS974" s="66"/>
      <c r="AT974"/>
      <c r="AU974"/>
      <c r="AV974"/>
      <c r="AW974"/>
      <c r="BK974" s="66"/>
      <c r="BL974"/>
      <c r="BM974"/>
      <c r="BN974"/>
      <c r="BO974"/>
      <c r="BQ974" s="66"/>
      <c r="BR974"/>
      <c r="BS974"/>
      <c r="BT974"/>
      <c r="BU974"/>
    </row>
    <row r="975" spans="39:73" x14ac:dyDescent="0.25">
      <c r="AM975" s="66"/>
      <c r="AN975"/>
      <c r="AO975"/>
      <c r="AP975"/>
      <c r="AQ975"/>
      <c r="AS975" s="66"/>
      <c r="AT975"/>
      <c r="AU975"/>
      <c r="AV975"/>
      <c r="AW975"/>
      <c r="BK975" s="66"/>
      <c r="BL975"/>
      <c r="BM975"/>
      <c r="BN975"/>
      <c r="BO975"/>
      <c r="BQ975" s="66"/>
      <c r="BR975"/>
      <c r="BS975"/>
      <c r="BT975"/>
      <c r="BU975"/>
    </row>
    <row r="976" spans="39:73" x14ac:dyDescent="0.25">
      <c r="AM976" s="66"/>
      <c r="AN976"/>
      <c r="AO976"/>
      <c r="AP976"/>
      <c r="AQ976"/>
      <c r="AS976" s="66"/>
      <c r="AT976"/>
      <c r="AU976"/>
      <c r="AV976"/>
      <c r="AW976"/>
      <c r="BK976" s="66"/>
      <c r="BL976"/>
      <c r="BM976"/>
      <c r="BN976"/>
      <c r="BO976"/>
      <c r="BQ976" s="66"/>
      <c r="BR976"/>
      <c r="BS976"/>
      <c r="BT976"/>
      <c r="BU976"/>
    </row>
    <row r="977" spans="39:73" x14ac:dyDescent="0.25">
      <c r="AM977" s="66"/>
      <c r="AN977"/>
      <c r="AO977"/>
      <c r="AP977"/>
      <c r="AQ977"/>
      <c r="AS977" s="66"/>
      <c r="AT977"/>
      <c r="AU977"/>
      <c r="AV977"/>
      <c r="AW977"/>
      <c r="BK977" s="66"/>
      <c r="BL977"/>
      <c r="BM977"/>
      <c r="BN977"/>
      <c r="BO977"/>
      <c r="BQ977" s="66"/>
      <c r="BR977"/>
      <c r="BS977"/>
      <c r="BT977"/>
      <c r="BU977"/>
    </row>
    <row r="978" spans="39:73" x14ac:dyDescent="0.25">
      <c r="AM978" s="66"/>
      <c r="AN978"/>
      <c r="AO978"/>
      <c r="AP978"/>
      <c r="AQ978"/>
      <c r="AS978" s="66"/>
      <c r="AT978"/>
      <c r="AU978"/>
      <c r="AV978"/>
      <c r="AW978"/>
      <c r="BK978" s="66"/>
      <c r="BL978"/>
      <c r="BM978"/>
      <c r="BN978"/>
      <c r="BO978"/>
      <c r="BQ978" s="66"/>
      <c r="BR978"/>
      <c r="BS978"/>
      <c r="BT978"/>
      <c r="BU978"/>
    </row>
    <row r="979" spans="39:73" x14ac:dyDescent="0.25">
      <c r="AM979" s="66"/>
      <c r="AN979"/>
      <c r="AO979"/>
      <c r="AP979"/>
      <c r="AQ979"/>
      <c r="AS979" s="66"/>
      <c r="AT979"/>
      <c r="AU979"/>
      <c r="AV979"/>
      <c r="AW979"/>
      <c r="BK979" s="66"/>
      <c r="BL979"/>
      <c r="BM979"/>
      <c r="BN979"/>
      <c r="BO979"/>
      <c r="BQ979" s="66"/>
      <c r="BR979"/>
      <c r="BS979"/>
      <c r="BT979"/>
      <c r="BU979"/>
    </row>
    <row r="980" spans="39:73" x14ac:dyDescent="0.25">
      <c r="AM980" s="66"/>
      <c r="AN980"/>
      <c r="AO980"/>
      <c r="AP980"/>
      <c r="AQ980"/>
      <c r="AS980" s="66"/>
      <c r="AT980"/>
      <c r="AU980"/>
      <c r="AV980"/>
      <c r="AW980"/>
      <c r="BK980" s="66"/>
      <c r="BL980"/>
      <c r="BM980"/>
      <c r="BN980"/>
      <c r="BO980"/>
      <c r="BQ980" s="66"/>
      <c r="BR980"/>
      <c r="BS980"/>
      <c r="BT980"/>
      <c r="BU980"/>
    </row>
    <row r="981" spans="39:73" x14ac:dyDescent="0.25">
      <c r="AM981" s="66"/>
      <c r="AN981"/>
      <c r="AO981"/>
      <c r="AP981"/>
      <c r="AQ981"/>
      <c r="AS981" s="66"/>
      <c r="AT981"/>
      <c r="AU981"/>
      <c r="AV981"/>
      <c r="AW981"/>
      <c r="BK981" s="66"/>
      <c r="BL981"/>
      <c r="BM981"/>
      <c r="BN981"/>
      <c r="BO981"/>
      <c r="BQ981" s="66"/>
      <c r="BR981"/>
      <c r="BS981"/>
      <c r="BT981"/>
      <c r="BU981"/>
    </row>
    <row r="982" spans="39:73" x14ac:dyDescent="0.25">
      <c r="AM982" s="66"/>
      <c r="AN982"/>
      <c r="AO982"/>
      <c r="AP982"/>
      <c r="AQ982"/>
      <c r="AS982" s="66"/>
      <c r="AT982"/>
      <c r="AU982"/>
      <c r="AV982"/>
      <c r="AW982"/>
      <c r="BK982" s="66"/>
      <c r="BL982"/>
      <c r="BM982"/>
      <c r="BN982"/>
      <c r="BO982"/>
      <c r="BQ982" s="66"/>
      <c r="BR982"/>
      <c r="BS982"/>
      <c r="BT982"/>
      <c r="BU982"/>
    </row>
    <row r="983" spans="39:73" x14ac:dyDescent="0.25">
      <c r="AM983" s="66"/>
      <c r="AN983"/>
      <c r="AO983"/>
      <c r="AP983"/>
      <c r="AQ983"/>
      <c r="AS983" s="66"/>
      <c r="AT983"/>
      <c r="AU983"/>
      <c r="AV983"/>
      <c r="AW983"/>
      <c r="BK983" s="66"/>
      <c r="BL983"/>
      <c r="BM983"/>
      <c r="BN983"/>
      <c r="BO983"/>
      <c r="BQ983" s="66"/>
      <c r="BR983"/>
      <c r="BS983"/>
      <c r="BT983"/>
      <c r="BU983"/>
    </row>
    <row r="984" spans="39:73" x14ac:dyDescent="0.25">
      <c r="AM984" s="66"/>
      <c r="AN984"/>
      <c r="AO984"/>
      <c r="AP984"/>
      <c r="AQ984"/>
      <c r="AS984" s="66"/>
      <c r="AT984"/>
      <c r="AU984"/>
      <c r="AV984"/>
      <c r="AW984"/>
      <c r="BK984" s="66"/>
      <c r="BL984"/>
      <c r="BM984"/>
      <c r="BN984"/>
      <c r="BO984"/>
      <c r="BQ984" s="66"/>
      <c r="BR984"/>
      <c r="BS984"/>
      <c r="BT984"/>
      <c r="BU984"/>
    </row>
    <row r="985" spans="39:73" x14ac:dyDescent="0.25">
      <c r="AM985" s="66"/>
      <c r="AN985"/>
      <c r="AO985"/>
      <c r="AP985"/>
      <c r="AQ985"/>
      <c r="AS985" s="66"/>
      <c r="AT985"/>
      <c r="AU985"/>
      <c r="AV985"/>
      <c r="AW985"/>
      <c r="BK985" s="66"/>
      <c r="BL985"/>
      <c r="BM985"/>
      <c r="BN985"/>
      <c r="BO985"/>
      <c r="BQ985" s="66"/>
      <c r="BR985"/>
      <c r="BS985"/>
      <c r="BT985"/>
      <c r="BU985"/>
    </row>
    <row r="986" spans="39:73" x14ac:dyDescent="0.25">
      <c r="AM986" s="66"/>
      <c r="AN986"/>
      <c r="AO986"/>
      <c r="AP986"/>
      <c r="AQ986"/>
      <c r="AS986" s="66"/>
      <c r="AT986"/>
      <c r="AU986"/>
      <c r="AV986"/>
      <c r="AW986"/>
      <c r="BK986" s="66"/>
      <c r="BL986"/>
      <c r="BM986"/>
      <c r="BN986"/>
      <c r="BO986"/>
      <c r="BQ986" s="66"/>
      <c r="BR986"/>
      <c r="BS986"/>
      <c r="BT986"/>
      <c r="BU986"/>
    </row>
    <row r="987" spans="39:73" x14ac:dyDescent="0.25">
      <c r="AM987" s="66"/>
      <c r="AN987"/>
      <c r="AO987"/>
      <c r="AP987"/>
      <c r="AQ987"/>
      <c r="AS987" s="66"/>
      <c r="AT987"/>
      <c r="AU987"/>
      <c r="AV987"/>
      <c r="AW987"/>
      <c r="BK987" s="66"/>
      <c r="BL987"/>
      <c r="BM987"/>
      <c r="BN987"/>
      <c r="BO987"/>
      <c r="BQ987" s="66"/>
      <c r="BR987"/>
      <c r="BS987"/>
      <c r="BT987"/>
      <c r="BU987"/>
    </row>
    <row r="988" spans="39:73" x14ac:dyDescent="0.25">
      <c r="AM988" s="66"/>
      <c r="AN988"/>
      <c r="AO988"/>
      <c r="AP988"/>
      <c r="AQ988"/>
      <c r="AS988" s="66"/>
      <c r="AT988"/>
      <c r="AU988"/>
      <c r="AV988"/>
      <c r="AW988"/>
      <c r="BK988" s="66"/>
      <c r="BL988"/>
      <c r="BM988"/>
      <c r="BN988"/>
      <c r="BO988"/>
      <c r="BQ988" s="66"/>
      <c r="BR988"/>
      <c r="BS988"/>
      <c r="BT988"/>
      <c r="BU988"/>
    </row>
    <row r="989" spans="39:73" x14ac:dyDescent="0.25">
      <c r="AM989" s="66"/>
      <c r="AN989"/>
      <c r="AO989"/>
      <c r="AP989"/>
      <c r="AQ989"/>
      <c r="AS989" s="66"/>
      <c r="AT989"/>
      <c r="AU989"/>
      <c r="AV989"/>
      <c r="AW989"/>
      <c r="BK989" s="66"/>
      <c r="BL989"/>
      <c r="BM989"/>
      <c r="BN989"/>
      <c r="BO989"/>
      <c r="BQ989" s="66"/>
      <c r="BR989"/>
      <c r="BS989"/>
      <c r="BT989"/>
      <c r="BU989"/>
    </row>
    <row r="990" spans="39:73" x14ac:dyDescent="0.25">
      <c r="AM990" s="66"/>
      <c r="AN990"/>
      <c r="AO990"/>
      <c r="AP990"/>
      <c r="AQ990"/>
      <c r="AS990" s="66"/>
      <c r="AT990"/>
      <c r="AU990"/>
      <c r="AV990"/>
      <c r="AW990"/>
      <c r="BK990" s="66"/>
      <c r="BL990"/>
      <c r="BM990"/>
      <c r="BN990"/>
      <c r="BO990"/>
      <c r="BQ990" s="66"/>
      <c r="BR990"/>
      <c r="BS990"/>
      <c r="BT990"/>
      <c r="BU990"/>
    </row>
    <row r="991" spans="39:73" x14ac:dyDescent="0.25">
      <c r="AM991" s="66"/>
      <c r="AN991"/>
      <c r="AO991"/>
      <c r="AP991"/>
      <c r="AQ991"/>
      <c r="AS991" s="66"/>
      <c r="AT991"/>
      <c r="AU991"/>
      <c r="AV991"/>
      <c r="AW991"/>
      <c r="BK991" s="66"/>
      <c r="BL991"/>
      <c r="BM991"/>
      <c r="BN991"/>
      <c r="BO991"/>
      <c r="BQ991" s="66"/>
      <c r="BR991"/>
      <c r="BS991"/>
      <c r="BT991"/>
      <c r="BU991"/>
    </row>
    <row r="992" spans="39:73" x14ac:dyDescent="0.25">
      <c r="AM992" s="66"/>
      <c r="AN992"/>
      <c r="AO992"/>
      <c r="AP992"/>
      <c r="AQ992"/>
      <c r="AS992" s="66"/>
      <c r="AT992"/>
      <c r="AU992"/>
      <c r="AV992"/>
      <c r="AW992"/>
      <c r="BK992" s="66"/>
      <c r="BL992"/>
      <c r="BM992"/>
      <c r="BN992"/>
      <c r="BO992"/>
      <c r="BQ992" s="66"/>
      <c r="BR992"/>
      <c r="BS992"/>
      <c r="BT992"/>
      <c r="BU992"/>
    </row>
    <row r="993" spans="39:73" x14ac:dyDescent="0.25">
      <c r="AM993" s="66"/>
      <c r="AN993"/>
      <c r="AO993"/>
      <c r="AP993"/>
      <c r="AQ993"/>
      <c r="AS993" s="66"/>
      <c r="AT993"/>
      <c r="AU993"/>
      <c r="AV993"/>
      <c r="AW993"/>
      <c r="BK993" s="66"/>
      <c r="BL993"/>
      <c r="BM993"/>
      <c r="BN993"/>
      <c r="BO993"/>
      <c r="BQ993" s="66"/>
      <c r="BR993"/>
      <c r="BS993"/>
      <c r="BT993"/>
      <c r="BU993"/>
    </row>
    <row r="994" spans="39:73" x14ac:dyDescent="0.25">
      <c r="AM994" s="66"/>
      <c r="AN994"/>
      <c r="AO994"/>
      <c r="AP994"/>
      <c r="AQ994"/>
      <c r="AS994" s="66"/>
      <c r="AT994"/>
      <c r="AU994"/>
      <c r="AV994"/>
      <c r="AW994"/>
      <c r="BK994" s="66"/>
      <c r="BL994"/>
      <c r="BM994"/>
      <c r="BN994"/>
      <c r="BO994"/>
      <c r="BQ994" s="66"/>
      <c r="BR994"/>
      <c r="BS994"/>
      <c r="BT994"/>
      <c r="BU994"/>
    </row>
    <row r="995" spans="39:73" x14ac:dyDescent="0.25">
      <c r="AM995" s="66"/>
      <c r="AN995"/>
      <c r="AO995"/>
      <c r="AP995"/>
      <c r="AQ995"/>
      <c r="AS995" s="66"/>
      <c r="AT995"/>
      <c r="AU995"/>
      <c r="AV995"/>
      <c r="AW995"/>
      <c r="BK995" s="66"/>
      <c r="BL995"/>
      <c r="BM995"/>
      <c r="BN995"/>
      <c r="BO995"/>
      <c r="BQ995" s="66"/>
      <c r="BR995"/>
      <c r="BS995"/>
      <c r="BT995"/>
      <c r="BU995"/>
    </row>
    <row r="996" spans="39:73" x14ac:dyDescent="0.25">
      <c r="AM996" s="66"/>
      <c r="AN996"/>
      <c r="AO996"/>
      <c r="AP996"/>
      <c r="AQ996"/>
      <c r="AS996" s="66"/>
      <c r="AT996"/>
      <c r="AU996"/>
      <c r="AV996"/>
      <c r="AW996"/>
      <c r="BK996" s="66"/>
      <c r="BL996"/>
      <c r="BM996"/>
      <c r="BN996"/>
      <c r="BO996"/>
      <c r="BQ996" s="66"/>
      <c r="BR996"/>
      <c r="BS996"/>
      <c r="BT996"/>
      <c r="BU996"/>
    </row>
    <row r="997" spans="39:73" x14ac:dyDescent="0.25">
      <c r="AM997" s="66"/>
      <c r="AN997"/>
      <c r="AO997"/>
      <c r="AP997"/>
      <c r="AQ997"/>
      <c r="AS997" s="66"/>
      <c r="AT997"/>
      <c r="AU997"/>
      <c r="AV997"/>
      <c r="AW997"/>
      <c r="BK997" s="66"/>
      <c r="BL997"/>
      <c r="BM997"/>
      <c r="BN997"/>
      <c r="BO997"/>
      <c r="BQ997" s="66"/>
      <c r="BR997"/>
      <c r="BS997"/>
      <c r="BT997"/>
      <c r="BU997"/>
    </row>
    <row r="998" spans="39:73" x14ac:dyDescent="0.25">
      <c r="AM998" s="66"/>
      <c r="AN998"/>
      <c r="AO998"/>
      <c r="AP998"/>
      <c r="AQ998"/>
      <c r="AS998" s="66"/>
      <c r="AT998"/>
      <c r="AU998"/>
      <c r="AV998"/>
      <c r="AW998"/>
      <c r="BK998" s="66"/>
      <c r="BL998"/>
      <c r="BM998"/>
      <c r="BN998"/>
      <c r="BO998"/>
      <c r="BQ998" s="66"/>
      <c r="BR998"/>
      <c r="BS998"/>
      <c r="BT998"/>
      <c r="BU998"/>
    </row>
    <row r="999" spans="39:73" x14ac:dyDescent="0.25">
      <c r="AM999" s="66"/>
      <c r="AN999"/>
      <c r="AO999"/>
      <c r="AP999"/>
      <c r="AQ999"/>
      <c r="AS999" s="66"/>
      <c r="AT999"/>
      <c r="AU999"/>
      <c r="AV999"/>
      <c r="AW999"/>
      <c r="BK999" s="66"/>
      <c r="BL999"/>
      <c r="BM999"/>
      <c r="BN999"/>
      <c r="BO999"/>
      <c r="BQ999" s="66"/>
      <c r="BR999"/>
      <c r="BS999"/>
      <c r="BT999"/>
      <c r="BU999"/>
    </row>
    <row r="1000" spans="39:73" x14ac:dyDescent="0.25">
      <c r="AM1000" s="66"/>
      <c r="AN1000"/>
      <c r="AO1000"/>
      <c r="AP1000"/>
      <c r="AQ1000"/>
      <c r="AS1000" s="66"/>
      <c r="AT1000"/>
      <c r="AU1000"/>
      <c r="AV1000"/>
      <c r="AW1000"/>
      <c r="BK1000" s="66"/>
      <c r="BL1000"/>
      <c r="BM1000"/>
      <c r="BN1000"/>
      <c r="BO1000"/>
      <c r="BQ1000" s="66"/>
      <c r="BR1000"/>
      <c r="BS1000"/>
      <c r="BT1000"/>
      <c r="BU1000"/>
    </row>
    <row r="1001" spans="39:73" x14ac:dyDescent="0.25">
      <c r="AM1001" s="66"/>
      <c r="AN1001"/>
      <c r="AO1001"/>
      <c r="AP1001"/>
      <c r="AQ1001"/>
      <c r="AS1001" s="66"/>
      <c r="AT1001"/>
      <c r="AU1001"/>
      <c r="AV1001"/>
      <c r="AW1001"/>
      <c r="BK1001" s="66"/>
      <c r="BL1001"/>
      <c r="BM1001"/>
      <c r="BN1001"/>
      <c r="BO1001"/>
      <c r="BQ1001" s="66"/>
      <c r="BR1001"/>
      <c r="BS1001"/>
      <c r="BT1001"/>
      <c r="BU1001"/>
    </row>
    <row r="1002" spans="39:73" x14ac:dyDescent="0.25">
      <c r="AM1002" s="66"/>
      <c r="AN1002"/>
      <c r="AO1002"/>
      <c r="AP1002"/>
      <c r="AQ1002"/>
      <c r="AS1002" s="66"/>
      <c r="AT1002"/>
      <c r="AU1002"/>
      <c r="AV1002"/>
      <c r="AW1002"/>
      <c r="BK1002" s="66"/>
      <c r="BL1002"/>
      <c r="BM1002"/>
      <c r="BN1002"/>
      <c r="BO1002"/>
      <c r="BQ1002" s="66"/>
      <c r="BR1002"/>
      <c r="BS1002"/>
      <c r="BT1002"/>
      <c r="BU1002"/>
    </row>
    <row r="1003" spans="39:73" x14ac:dyDescent="0.25">
      <c r="AM1003" s="66"/>
      <c r="AN1003"/>
      <c r="AO1003"/>
      <c r="AP1003"/>
      <c r="AQ1003"/>
      <c r="AS1003" s="66"/>
      <c r="AT1003"/>
      <c r="AU1003"/>
      <c r="AV1003"/>
      <c r="AW1003"/>
      <c r="BK1003" s="66"/>
      <c r="BL1003"/>
      <c r="BM1003"/>
      <c r="BN1003"/>
      <c r="BO1003"/>
      <c r="BQ1003" s="66"/>
      <c r="BR1003"/>
      <c r="BS1003"/>
      <c r="BT1003"/>
      <c r="BU1003"/>
    </row>
    <row r="1004" spans="39:73" x14ac:dyDescent="0.25">
      <c r="AM1004" s="66"/>
      <c r="AN1004"/>
      <c r="AO1004"/>
      <c r="AP1004"/>
      <c r="AQ1004"/>
      <c r="AS1004" s="66"/>
      <c r="AT1004"/>
      <c r="AU1004"/>
      <c r="AV1004"/>
      <c r="AW1004"/>
      <c r="BK1004" s="66"/>
      <c r="BL1004"/>
      <c r="BM1004"/>
      <c r="BN1004"/>
      <c r="BO1004"/>
      <c r="BQ1004" s="66"/>
      <c r="BR1004"/>
      <c r="BS1004"/>
      <c r="BT1004"/>
      <c r="BU1004"/>
    </row>
    <row r="1005" spans="39:73" x14ac:dyDescent="0.25">
      <c r="AM1005" s="66"/>
      <c r="AN1005"/>
      <c r="AO1005"/>
      <c r="AP1005"/>
      <c r="AQ1005"/>
      <c r="AS1005" s="66"/>
      <c r="AT1005"/>
      <c r="AU1005"/>
      <c r="AV1005"/>
      <c r="AW1005"/>
      <c r="BK1005" s="66"/>
      <c r="BL1005"/>
      <c r="BM1005"/>
      <c r="BN1005"/>
      <c r="BO1005"/>
      <c r="BQ1005" s="66"/>
      <c r="BR1005"/>
      <c r="BS1005"/>
      <c r="BT1005"/>
      <c r="BU1005"/>
    </row>
    <row r="1006" spans="39:73" x14ac:dyDescent="0.25">
      <c r="AM1006" s="66"/>
      <c r="AN1006"/>
      <c r="AO1006"/>
      <c r="AP1006"/>
      <c r="AQ1006"/>
      <c r="AS1006" s="66"/>
      <c r="AT1006"/>
      <c r="AU1006"/>
      <c r="AV1006"/>
      <c r="AW1006"/>
      <c r="BK1006" s="66"/>
      <c r="BL1006"/>
      <c r="BM1006"/>
      <c r="BN1006"/>
      <c r="BO1006"/>
      <c r="BQ1006" s="66"/>
      <c r="BR1006"/>
      <c r="BS1006"/>
      <c r="BT1006"/>
      <c r="BU1006"/>
    </row>
    <row r="1007" spans="39:73" x14ac:dyDescent="0.25">
      <c r="AM1007" s="66"/>
      <c r="AN1007"/>
      <c r="AO1007"/>
      <c r="AP1007"/>
      <c r="AQ1007"/>
      <c r="AS1007" s="66"/>
      <c r="AT1007"/>
      <c r="AU1007"/>
      <c r="AV1007"/>
      <c r="AW1007"/>
      <c r="BK1007" s="66"/>
      <c r="BL1007"/>
      <c r="BM1007"/>
      <c r="BN1007"/>
      <c r="BO1007"/>
      <c r="BQ1007" s="66"/>
      <c r="BR1007"/>
      <c r="BS1007"/>
      <c r="BT1007"/>
      <c r="BU1007"/>
    </row>
    <row r="1008" spans="39:73" x14ac:dyDescent="0.25">
      <c r="AM1008" s="66"/>
      <c r="AN1008"/>
      <c r="AO1008"/>
      <c r="AP1008"/>
      <c r="AQ1008"/>
      <c r="AS1008" s="66"/>
      <c r="AT1008"/>
      <c r="AU1008"/>
      <c r="AV1008"/>
      <c r="AW1008"/>
      <c r="BK1008" s="66"/>
      <c r="BL1008"/>
      <c r="BM1008"/>
      <c r="BN1008"/>
      <c r="BO1008"/>
      <c r="BQ1008" s="66"/>
      <c r="BR1008"/>
      <c r="BS1008"/>
      <c r="BT1008"/>
      <c r="BU1008"/>
    </row>
    <row r="1009" spans="39:73" x14ac:dyDescent="0.25">
      <c r="AM1009" s="66"/>
      <c r="AN1009"/>
      <c r="AO1009"/>
      <c r="AP1009"/>
      <c r="AQ1009"/>
      <c r="AS1009" s="66"/>
      <c r="AT1009"/>
      <c r="AU1009"/>
      <c r="AV1009"/>
      <c r="AW1009"/>
      <c r="BK1009" s="66"/>
      <c r="BL1009"/>
      <c r="BM1009"/>
      <c r="BN1009"/>
      <c r="BO1009"/>
      <c r="BQ1009" s="66"/>
      <c r="BR1009"/>
      <c r="BS1009"/>
      <c r="BT1009"/>
      <c r="BU1009"/>
    </row>
    <row r="1010" spans="39:73" x14ac:dyDescent="0.25">
      <c r="AM1010" s="66"/>
      <c r="AN1010"/>
      <c r="AO1010"/>
      <c r="AP1010"/>
      <c r="AQ1010"/>
      <c r="AS1010" s="66"/>
      <c r="AT1010"/>
      <c r="AU1010"/>
      <c r="AV1010"/>
      <c r="AW1010"/>
      <c r="BK1010" s="66"/>
      <c r="BL1010"/>
      <c r="BM1010"/>
      <c r="BN1010"/>
      <c r="BO1010"/>
      <c r="BQ1010" s="66"/>
      <c r="BR1010"/>
      <c r="BS1010"/>
      <c r="BT1010"/>
      <c r="BU1010"/>
    </row>
    <row r="1011" spans="39:73" x14ac:dyDescent="0.25">
      <c r="AM1011" s="66"/>
      <c r="AN1011"/>
      <c r="AO1011"/>
      <c r="AP1011"/>
      <c r="AQ1011"/>
      <c r="AS1011" s="66"/>
      <c r="AT1011"/>
      <c r="AU1011"/>
      <c r="AV1011"/>
      <c r="AW1011"/>
      <c r="BK1011" s="66"/>
      <c r="BL1011"/>
      <c r="BM1011"/>
      <c r="BN1011"/>
      <c r="BO1011"/>
      <c r="BQ1011" s="66"/>
      <c r="BR1011"/>
      <c r="BS1011"/>
      <c r="BT1011"/>
      <c r="BU1011"/>
    </row>
    <row r="1012" spans="39:73" x14ac:dyDescent="0.25">
      <c r="AM1012" s="66"/>
      <c r="AN1012"/>
      <c r="AO1012"/>
      <c r="AP1012"/>
      <c r="AQ1012"/>
      <c r="AS1012" s="66"/>
      <c r="AT1012"/>
      <c r="AU1012"/>
      <c r="AV1012"/>
      <c r="AW1012"/>
      <c r="BK1012" s="66"/>
      <c r="BL1012"/>
      <c r="BM1012"/>
      <c r="BN1012"/>
      <c r="BO1012"/>
      <c r="BQ1012" s="66"/>
      <c r="BR1012"/>
      <c r="BS1012"/>
      <c r="BT1012"/>
      <c r="BU1012"/>
    </row>
    <row r="1013" spans="39:73" x14ac:dyDescent="0.25">
      <c r="AM1013" s="66"/>
      <c r="AN1013"/>
      <c r="AO1013"/>
      <c r="AP1013"/>
      <c r="AQ1013"/>
      <c r="AS1013" s="66"/>
      <c r="AT1013"/>
      <c r="AU1013"/>
      <c r="AV1013"/>
      <c r="AW1013"/>
      <c r="BK1013" s="66"/>
      <c r="BL1013"/>
      <c r="BM1013"/>
      <c r="BN1013"/>
      <c r="BO1013"/>
      <c r="BQ1013" s="66"/>
      <c r="BR1013"/>
      <c r="BS1013"/>
      <c r="BT1013"/>
      <c r="BU1013"/>
    </row>
    <row r="1014" spans="39:73" x14ac:dyDescent="0.25">
      <c r="AM1014" s="66"/>
      <c r="AN1014"/>
      <c r="AO1014"/>
      <c r="AP1014"/>
      <c r="AQ1014"/>
      <c r="AS1014" s="66"/>
      <c r="AT1014"/>
      <c r="AU1014"/>
      <c r="AV1014"/>
      <c r="AW1014"/>
      <c r="BK1014" s="66"/>
      <c r="BL1014"/>
      <c r="BM1014"/>
      <c r="BN1014"/>
      <c r="BO1014"/>
      <c r="BQ1014" s="66"/>
      <c r="BR1014"/>
      <c r="BS1014"/>
      <c r="BT1014"/>
      <c r="BU1014"/>
    </row>
    <row r="1015" spans="39:73" x14ac:dyDescent="0.25">
      <c r="AM1015" s="66"/>
      <c r="AN1015"/>
      <c r="AO1015"/>
      <c r="AP1015"/>
      <c r="AQ1015"/>
      <c r="AS1015" s="66"/>
      <c r="AT1015"/>
      <c r="AU1015"/>
      <c r="AV1015"/>
      <c r="AW1015"/>
      <c r="BK1015" s="66"/>
      <c r="BL1015"/>
      <c r="BM1015"/>
      <c r="BN1015"/>
      <c r="BO1015"/>
      <c r="BQ1015" s="66"/>
      <c r="BR1015"/>
      <c r="BS1015"/>
      <c r="BT1015"/>
      <c r="BU1015"/>
    </row>
    <row r="1016" spans="39:73" x14ac:dyDescent="0.25">
      <c r="AM1016" s="66"/>
      <c r="AN1016"/>
      <c r="AO1016"/>
      <c r="AP1016"/>
      <c r="AQ1016"/>
      <c r="AS1016" s="66"/>
      <c r="AT1016"/>
      <c r="AU1016"/>
      <c r="AV1016"/>
      <c r="AW1016"/>
      <c r="BK1016" s="66"/>
      <c r="BL1016"/>
      <c r="BM1016"/>
      <c r="BN1016"/>
      <c r="BO1016"/>
      <c r="BQ1016" s="66"/>
      <c r="BR1016"/>
      <c r="BS1016"/>
      <c r="BT1016"/>
      <c r="BU1016"/>
    </row>
    <row r="1017" spans="39:73" x14ac:dyDescent="0.25">
      <c r="AM1017" s="66"/>
      <c r="AN1017"/>
      <c r="AO1017"/>
      <c r="AP1017"/>
      <c r="AQ1017"/>
      <c r="AS1017" s="66"/>
      <c r="AT1017"/>
      <c r="AU1017"/>
      <c r="AV1017"/>
      <c r="AW1017"/>
      <c r="BK1017" s="66"/>
      <c r="BL1017"/>
      <c r="BM1017"/>
      <c r="BN1017"/>
      <c r="BO1017"/>
      <c r="BQ1017" s="66"/>
      <c r="BR1017"/>
      <c r="BS1017"/>
      <c r="BT1017"/>
      <c r="BU1017"/>
    </row>
    <row r="1018" spans="39:73" x14ac:dyDescent="0.25">
      <c r="AM1018" s="66"/>
      <c r="AN1018"/>
      <c r="AO1018"/>
      <c r="AP1018"/>
      <c r="AQ1018"/>
      <c r="AS1018" s="66"/>
      <c r="AT1018"/>
      <c r="AU1018"/>
      <c r="AV1018"/>
      <c r="AW1018"/>
      <c r="BK1018" s="66"/>
      <c r="BL1018"/>
      <c r="BM1018"/>
      <c r="BN1018"/>
      <c r="BO1018"/>
      <c r="BQ1018" s="66"/>
      <c r="BR1018"/>
      <c r="BS1018"/>
      <c r="BT1018"/>
      <c r="BU1018"/>
    </row>
    <row r="1019" spans="39:73" x14ac:dyDescent="0.25">
      <c r="AM1019" s="66"/>
      <c r="AN1019"/>
      <c r="AO1019"/>
      <c r="AP1019"/>
      <c r="AQ1019"/>
      <c r="AS1019" s="66"/>
      <c r="AT1019"/>
      <c r="AU1019"/>
      <c r="AV1019"/>
      <c r="AW1019"/>
      <c r="BK1019" s="66"/>
      <c r="BL1019"/>
      <c r="BM1019"/>
      <c r="BN1019"/>
      <c r="BO1019"/>
      <c r="BQ1019" s="66"/>
      <c r="BR1019"/>
      <c r="BS1019"/>
      <c r="BT1019"/>
      <c r="BU1019"/>
    </row>
    <row r="1020" spans="39:73" x14ac:dyDescent="0.25">
      <c r="AM1020" s="66"/>
      <c r="AN1020"/>
      <c r="AO1020"/>
      <c r="AP1020"/>
      <c r="AQ1020"/>
      <c r="AS1020" s="66"/>
      <c r="AT1020"/>
      <c r="AU1020"/>
      <c r="AV1020"/>
      <c r="AW1020"/>
      <c r="BK1020" s="66"/>
      <c r="BL1020"/>
      <c r="BM1020"/>
      <c r="BN1020"/>
      <c r="BO1020"/>
      <c r="BQ1020" s="66"/>
      <c r="BR1020"/>
      <c r="BS1020"/>
      <c r="BT1020"/>
      <c r="BU1020"/>
    </row>
    <row r="1021" spans="39:73" x14ac:dyDescent="0.25">
      <c r="AM1021" s="66"/>
      <c r="AN1021"/>
      <c r="AO1021"/>
      <c r="AP1021"/>
      <c r="AQ1021"/>
      <c r="AS1021" s="66"/>
      <c r="AT1021"/>
      <c r="AU1021"/>
      <c r="AV1021"/>
      <c r="AW1021"/>
      <c r="BK1021" s="66"/>
      <c r="BL1021"/>
      <c r="BM1021"/>
      <c r="BN1021"/>
      <c r="BO1021"/>
      <c r="BQ1021" s="66"/>
      <c r="BR1021"/>
      <c r="BS1021"/>
      <c r="BT1021"/>
      <c r="BU1021"/>
    </row>
    <row r="1022" spans="39:73" x14ac:dyDescent="0.25">
      <c r="AM1022" s="66"/>
      <c r="AN1022"/>
      <c r="AO1022"/>
      <c r="AP1022"/>
      <c r="AQ1022"/>
      <c r="AS1022" s="66"/>
      <c r="AT1022"/>
      <c r="AU1022"/>
      <c r="AV1022"/>
      <c r="AW1022"/>
      <c r="BK1022" s="66"/>
      <c r="BL1022"/>
      <c r="BM1022"/>
      <c r="BN1022"/>
      <c r="BO1022"/>
      <c r="BQ1022" s="66"/>
      <c r="BR1022"/>
      <c r="BS1022"/>
      <c r="BT1022"/>
      <c r="BU1022"/>
    </row>
    <row r="1023" spans="39:73" x14ac:dyDescent="0.25">
      <c r="AM1023" s="66"/>
      <c r="AN1023"/>
      <c r="AO1023"/>
      <c r="AP1023"/>
      <c r="AQ1023"/>
      <c r="AS1023" s="66"/>
      <c r="AT1023"/>
      <c r="AU1023"/>
      <c r="AV1023"/>
      <c r="AW1023"/>
      <c r="BK1023" s="66"/>
      <c r="BL1023"/>
      <c r="BM1023"/>
      <c r="BN1023"/>
      <c r="BO1023"/>
      <c r="BQ1023" s="66"/>
      <c r="BR1023"/>
      <c r="BS1023"/>
      <c r="BT1023"/>
      <c r="BU1023"/>
    </row>
    <row r="1024" spans="39:73" x14ac:dyDescent="0.25">
      <c r="AM1024" s="66"/>
      <c r="AN1024"/>
      <c r="AO1024"/>
      <c r="AP1024"/>
      <c r="AQ1024"/>
      <c r="AS1024" s="66"/>
      <c r="AT1024"/>
      <c r="AU1024"/>
      <c r="AV1024"/>
      <c r="AW1024"/>
      <c r="BK1024" s="66"/>
      <c r="BL1024"/>
      <c r="BM1024"/>
      <c r="BN1024"/>
      <c r="BO1024"/>
      <c r="BQ1024" s="66"/>
      <c r="BR1024"/>
      <c r="BS1024"/>
      <c r="BT1024"/>
      <c r="BU1024"/>
    </row>
    <row r="1025" spans="39:73" x14ac:dyDescent="0.25">
      <c r="AM1025" s="66"/>
      <c r="AN1025"/>
      <c r="AO1025"/>
      <c r="AP1025"/>
      <c r="AQ1025"/>
      <c r="AS1025" s="66"/>
      <c r="AT1025"/>
      <c r="AU1025"/>
      <c r="AV1025"/>
      <c r="AW1025"/>
      <c r="BK1025" s="66"/>
      <c r="BL1025"/>
      <c r="BM1025"/>
      <c r="BN1025"/>
      <c r="BO1025"/>
      <c r="BQ1025" s="66"/>
      <c r="BR1025"/>
      <c r="BS1025"/>
      <c r="BT1025"/>
      <c r="BU1025"/>
    </row>
    <row r="1026" spans="39:73" x14ac:dyDescent="0.25">
      <c r="AM1026" s="66"/>
      <c r="AN1026"/>
      <c r="AO1026"/>
      <c r="AP1026"/>
      <c r="AQ1026"/>
      <c r="AS1026" s="66"/>
      <c r="AT1026"/>
      <c r="AU1026"/>
      <c r="AV1026"/>
      <c r="AW1026"/>
      <c r="BK1026" s="66"/>
      <c r="BL1026"/>
      <c r="BM1026"/>
      <c r="BN1026"/>
      <c r="BO1026"/>
      <c r="BQ1026" s="66"/>
      <c r="BR1026"/>
      <c r="BS1026"/>
      <c r="BT1026"/>
      <c r="BU1026"/>
    </row>
    <row r="1027" spans="39:73" x14ac:dyDescent="0.25">
      <c r="AM1027" s="66"/>
      <c r="AN1027"/>
      <c r="AO1027"/>
      <c r="AP1027"/>
      <c r="AQ1027"/>
      <c r="AS1027" s="66"/>
      <c r="AT1027"/>
      <c r="AU1027"/>
      <c r="AV1027"/>
      <c r="AW1027"/>
      <c r="BK1027" s="66"/>
      <c r="BL1027"/>
      <c r="BM1027"/>
      <c r="BN1027"/>
      <c r="BO1027"/>
      <c r="BQ1027" s="66"/>
      <c r="BR1027"/>
      <c r="BS1027"/>
      <c r="BT1027"/>
      <c r="BU1027"/>
    </row>
    <row r="1028" spans="39:73" x14ac:dyDescent="0.25">
      <c r="AM1028" s="66"/>
      <c r="AN1028"/>
      <c r="AO1028"/>
      <c r="AP1028"/>
      <c r="AQ1028"/>
      <c r="AS1028" s="66"/>
      <c r="AT1028"/>
      <c r="AU1028"/>
      <c r="AV1028"/>
      <c r="AW1028"/>
      <c r="BK1028" s="66"/>
      <c r="BL1028"/>
      <c r="BM1028"/>
      <c r="BN1028"/>
      <c r="BO1028"/>
      <c r="BQ1028" s="66"/>
      <c r="BR1028"/>
      <c r="BS1028"/>
      <c r="BT1028"/>
      <c r="BU1028"/>
    </row>
    <row r="1029" spans="39:73" x14ac:dyDescent="0.25">
      <c r="AM1029" s="66"/>
      <c r="AN1029"/>
      <c r="AO1029"/>
      <c r="AP1029"/>
      <c r="AQ1029"/>
      <c r="AS1029" s="66"/>
      <c r="AT1029"/>
      <c r="AU1029"/>
      <c r="AV1029"/>
      <c r="AW1029"/>
      <c r="BK1029" s="66"/>
      <c r="BL1029"/>
      <c r="BM1029"/>
      <c r="BN1029"/>
      <c r="BO1029"/>
      <c r="BQ1029" s="66"/>
      <c r="BR1029"/>
      <c r="BS1029"/>
      <c r="BT1029"/>
      <c r="BU1029"/>
    </row>
    <row r="1030" spans="39:73" x14ac:dyDescent="0.25">
      <c r="AM1030" s="66"/>
      <c r="AN1030"/>
      <c r="AO1030"/>
      <c r="AP1030"/>
      <c r="AQ1030"/>
      <c r="AS1030" s="66"/>
      <c r="AT1030"/>
      <c r="AU1030"/>
      <c r="AV1030"/>
      <c r="AW1030"/>
      <c r="BK1030" s="66"/>
      <c r="BL1030"/>
      <c r="BM1030"/>
      <c r="BN1030"/>
      <c r="BO1030"/>
      <c r="BQ1030" s="66"/>
      <c r="BR1030"/>
      <c r="BS1030"/>
      <c r="BT1030"/>
      <c r="BU1030"/>
    </row>
    <row r="1031" spans="39:73" x14ac:dyDescent="0.25">
      <c r="AM1031" s="66"/>
      <c r="AN1031"/>
      <c r="AO1031"/>
      <c r="AP1031"/>
      <c r="AQ1031"/>
      <c r="AS1031" s="66"/>
      <c r="AT1031"/>
      <c r="AU1031"/>
      <c r="AV1031"/>
      <c r="AW1031"/>
      <c r="BK1031" s="66"/>
      <c r="BL1031"/>
      <c r="BM1031"/>
      <c r="BN1031"/>
      <c r="BO1031"/>
      <c r="BQ1031" s="66"/>
      <c r="BR1031"/>
      <c r="BS1031"/>
      <c r="BT1031"/>
      <c r="BU1031"/>
    </row>
    <row r="1032" spans="39:73" x14ac:dyDescent="0.25">
      <c r="AM1032" s="66"/>
      <c r="AN1032"/>
      <c r="AO1032"/>
      <c r="AP1032"/>
      <c r="AQ1032"/>
      <c r="AS1032" s="66"/>
      <c r="AT1032"/>
      <c r="AU1032"/>
      <c r="AV1032"/>
      <c r="AW1032"/>
      <c r="BK1032" s="66"/>
      <c r="BL1032"/>
      <c r="BM1032"/>
      <c r="BN1032"/>
      <c r="BO1032"/>
      <c r="BQ1032" s="66"/>
      <c r="BR1032"/>
      <c r="BS1032"/>
      <c r="BT1032"/>
      <c r="BU1032"/>
    </row>
    <row r="1033" spans="39:73" x14ac:dyDescent="0.25">
      <c r="AM1033" s="66"/>
      <c r="AN1033"/>
      <c r="AO1033"/>
      <c r="AP1033"/>
      <c r="AQ1033"/>
      <c r="AS1033" s="66"/>
      <c r="AT1033"/>
      <c r="AU1033"/>
      <c r="AV1033"/>
      <c r="AW1033"/>
      <c r="BK1033" s="66"/>
      <c r="BL1033"/>
      <c r="BM1033"/>
      <c r="BN1033"/>
      <c r="BO1033"/>
      <c r="BQ1033" s="66"/>
      <c r="BR1033"/>
      <c r="BS1033"/>
      <c r="BT1033"/>
      <c r="BU1033"/>
    </row>
    <row r="1034" spans="39:73" x14ac:dyDescent="0.25">
      <c r="AM1034" s="66"/>
      <c r="AN1034"/>
      <c r="AO1034"/>
      <c r="AP1034"/>
      <c r="AQ1034"/>
      <c r="AS1034" s="66"/>
      <c r="AT1034"/>
      <c r="AU1034"/>
      <c r="AV1034"/>
      <c r="AW1034"/>
      <c r="BK1034" s="66"/>
      <c r="BL1034"/>
      <c r="BM1034"/>
      <c r="BN1034"/>
      <c r="BO1034"/>
      <c r="BQ1034" s="66"/>
      <c r="BR1034"/>
      <c r="BS1034"/>
      <c r="BT1034"/>
      <c r="BU1034"/>
    </row>
    <row r="1035" spans="39:73" x14ac:dyDescent="0.25">
      <c r="AM1035" s="66"/>
      <c r="AN1035"/>
      <c r="AO1035"/>
      <c r="AP1035"/>
      <c r="AQ1035"/>
      <c r="AS1035" s="66"/>
      <c r="AT1035"/>
      <c r="AU1035"/>
      <c r="AV1035"/>
      <c r="AW1035"/>
      <c r="BK1035" s="66"/>
      <c r="BL1035"/>
      <c r="BM1035"/>
      <c r="BN1035"/>
      <c r="BO1035"/>
      <c r="BQ1035" s="66"/>
      <c r="BR1035"/>
      <c r="BS1035"/>
      <c r="BT1035"/>
      <c r="BU1035"/>
    </row>
    <row r="1036" spans="39:73" x14ac:dyDescent="0.25">
      <c r="AM1036" s="66"/>
      <c r="AN1036"/>
      <c r="AO1036"/>
      <c r="AP1036"/>
      <c r="AQ1036"/>
      <c r="AS1036" s="66"/>
      <c r="AT1036"/>
      <c r="AU1036"/>
      <c r="AV1036"/>
      <c r="AW1036"/>
      <c r="BK1036" s="66"/>
      <c r="BL1036"/>
      <c r="BM1036"/>
      <c r="BN1036"/>
      <c r="BO1036"/>
      <c r="BQ1036" s="66"/>
      <c r="BR1036"/>
      <c r="BS1036"/>
      <c r="BT1036"/>
      <c r="BU1036"/>
    </row>
    <row r="1037" spans="39:73" x14ac:dyDescent="0.25">
      <c r="AM1037" s="66"/>
      <c r="AN1037"/>
      <c r="AO1037"/>
      <c r="AP1037"/>
      <c r="AQ1037"/>
      <c r="AS1037" s="66"/>
      <c r="AT1037"/>
      <c r="AU1037"/>
      <c r="AV1037"/>
      <c r="AW1037"/>
      <c r="BK1037" s="66"/>
      <c r="BL1037"/>
      <c r="BM1037"/>
      <c r="BN1037"/>
      <c r="BO1037"/>
      <c r="BQ1037" s="66"/>
      <c r="BR1037"/>
      <c r="BS1037"/>
      <c r="BT1037"/>
      <c r="BU1037"/>
    </row>
    <row r="1038" spans="39:73" x14ac:dyDescent="0.25">
      <c r="AM1038" s="66"/>
      <c r="AN1038"/>
      <c r="AO1038"/>
      <c r="AP1038"/>
      <c r="AQ1038"/>
      <c r="AS1038" s="66"/>
      <c r="AT1038"/>
      <c r="AU1038"/>
      <c r="AV1038"/>
      <c r="AW1038"/>
      <c r="BK1038" s="66"/>
      <c r="BL1038"/>
      <c r="BM1038"/>
      <c r="BN1038"/>
      <c r="BO1038"/>
      <c r="BQ1038" s="66"/>
      <c r="BR1038"/>
      <c r="BS1038"/>
      <c r="BT1038"/>
      <c r="BU1038"/>
    </row>
    <row r="1039" spans="39:73" x14ac:dyDescent="0.25">
      <c r="AM1039" s="66"/>
      <c r="AN1039"/>
      <c r="AO1039"/>
      <c r="AP1039"/>
      <c r="AQ1039"/>
      <c r="AS1039" s="66"/>
      <c r="AT1039"/>
      <c r="AU1039"/>
      <c r="AV1039"/>
      <c r="AW1039"/>
      <c r="BK1039" s="66"/>
      <c r="BL1039"/>
      <c r="BM1039"/>
      <c r="BN1039"/>
      <c r="BO1039"/>
      <c r="BQ1039" s="66"/>
      <c r="BR1039"/>
      <c r="BS1039"/>
      <c r="BT1039"/>
      <c r="BU1039"/>
    </row>
    <row r="1040" spans="39:73" x14ac:dyDescent="0.25">
      <c r="AM1040" s="66"/>
      <c r="AN1040"/>
      <c r="AO1040"/>
      <c r="AP1040"/>
      <c r="AQ1040"/>
      <c r="AS1040" s="66"/>
      <c r="AT1040"/>
      <c r="AU1040"/>
      <c r="AV1040"/>
      <c r="AW1040"/>
      <c r="BK1040" s="66"/>
      <c r="BL1040"/>
      <c r="BM1040"/>
      <c r="BN1040"/>
      <c r="BO1040"/>
      <c r="BQ1040" s="66"/>
      <c r="BR1040"/>
      <c r="BS1040"/>
      <c r="BT1040"/>
      <c r="BU1040"/>
    </row>
    <row r="1041" spans="39:73" x14ac:dyDescent="0.25">
      <c r="AM1041" s="66"/>
      <c r="AN1041"/>
      <c r="AO1041"/>
      <c r="AP1041"/>
      <c r="AQ1041"/>
      <c r="AS1041" s="66"/>
      <c r="AT1041"/>
      <c r="AU1041"/>
      <c r="AV1041"/>
      <c r="AW1041"/>
      <c r="BK1041" s="66"/>
      <c r="BL1041"/>
      <c r="BM1041"/>
      <c r="BN1041"/>
      <c r="BO1041"/>
      <c r="BQ1041" s="66"/>
      <c r="BR1041"/>
      <c r="BS1041"/>
      <c r="BT1041"/>
      <c r="BU1041"/>
    </row>
    <row r="1042" spans="39:73" x14ac:dyDescent="0.25">
      <c r="AM1042" s="66"/>
      <c r="AN1042"/>
      <c r="AO1042"/>
      <c r="AP1042"/>
      <c r="AQ1042"/>
      <c r="AS1042" s="66"/>
      <c r="AT1042"/>
      <c r="AU1042"/>
      <c r="AV1042"/>
      <c r="AW1042"/>
      <c r="BK1042" s="66"/>
      <c r="BL1042"/>
      <c r="BM1042"/>
      <c r="BN1042"/>
      <c r="BO1042"/>
      <c r="BQ1042" s="66"/>
      <c r="BR1042"/>
      <c r="BS1042"/>
      <c r="BT1042"/>
      <c r="BU1042"/>
    </row>
    <row r="1043" spans="39:73" x14ac:dyDescent="0.25">
      <c r="AM1043" s="66"/>
      <c r="AN1043"/>
      <c r="AO1043"/>
      <c r="AP1043"/>
      <c r="AQ1043"/>
      <c r="AS1043" s="66"/>
      <c r="AT1043"/>
      <c r="AU1043"/>
      <c r="AV1043"/>
      <c r="AW1043"/>
      <c r="BK1043" s="66"/>
      <c r="BL1043"/>
      <c r="BM1043"/>
      <c r="BN1043"/>
      <c r="BO1043"/>
      <c r="BQ1043" s="66"/>
      <c r="BR1043"/>
      <c r="BS1043"/>
      <c r="BT1043"/>
      <c r="BU1043"/>
    </row>
    <row r="1044" spans="39:73" x14ac:dyDescent="0.25">
      <c r="AM1044" s="66"/>
      <c r="AN1044"/>
      <c r="AO1044"/>
      <c r="AP1044"/>
      <c r="AQ1044"/>
      <c r="AS1044" s="66"/>
      <c r="AT1044"/>
      <c r="AU1044"/>
      <c r="AV1044"/>
      <c r="AW1044"/>
      <c r="BK1044" s="66"/>
      <c r="BL1044"/>
      <c r="BM1044"/>
      <c r="BN1044"/>
      <c r="BO1044"/>
      <c r="BQ1044" s="66"/>
      <c r="BR1044"/>
      <c r="BS1044"/>
      <c r="BT1044"/>
      <c r="BU1044"/>
    </row>
    <row r="1045" spans="39:73" x14ac:dyDescent="0.25">
      <c r="AM1045" s="66"/>
      <c r="AN1045"/>
      <c r="AO1045"/>
      <c r="AP1045"/>
      <c r="AQ1045"/>
      <c r="AS1045" s="66"/>
      <c r="AT1045"/>
      <c r="AU1045"/>
      <c r="AV1045"/>
      <c r="AW1045"/>
      <c r="BK1045" s="66"/>
      <c r="BL1045"/>
      <c r="BM1045"/>
      <c r="BN1045"/>
      <c r="BO1045"/>
      <c r="BQ1045" s="66"/>
      <c r="BR1045"/>
      <c r="BS1045"/>
      <c r="BT1045"/>
      <c r="BU1045"/>
    </row>
    <row r="1046" spans="39:73" x14ac:dyDescent="0.25">
      <c r="AM1046" s="66"/>
      <c r="AN1046"/>
      <c r="AO1046"/>
      <c r="AP1046"/>
      <c r="AQ1046"/>
      <c r="AS1046" s="66"/>
      <c r="AT1046"/>
      <c r="AU1046"/>
      <c r="AV1046"/>
      <c r="AW1046"/>
      <c r="BK1046" s="66"/>
      <c r="BL1046"/>
      <c r="BM1046"/>
      <c r="BN1046"/>
      <c r="BO1046"/>
      <c r="BQ1046" s="66"/>
      <c r="BR1046"/>
      <c r="BS1046"/>
      <c r="BT1046"/>
      <c r="BU1046"/>
    </row>
    <row r="1047" spans="39:73" x14ac:dyDescent="0.25">
      <c r="AM1047" s="66"/>
      <c r="AN1047"/>
      <c r="AO1047"/>
      <c r="AP1047"/>
      <c r="AQ1047"/>
      <c r="AS1047" s="66"/>
      <c r="AT1047"/>
      <c r="AU1047"/>
      <c r="AV1047"/>
      <c r="AW1047"/>
      <c r="BK1047" s="66"/>
      <c r="BL1047"/>
      <c r="BM1047"/>
      <c r="BN1047"/>
      <c r="BO1047"/>
      <c r="BQ1047" s="66"/>
      <c r="BR1047"/>
      <c r="BS1047"/>
      <c r="BT1047"/>
      <c r="BU1047"/>
    </row>
    <row r="1048" spans="39:73" x14ac:dyDescent="0.25">
      <c r="AM1048" s="66"/>
      <c r="AN1048"/>
      <c r="AO1048"/>
      <c r="AP1048"/>
      <c r="AQ1048"/>
      <c r="AS1048" s="66"/>
      <c r="AT1048"/>
      <c r="AU1048"/>
      <c r="AV1048"/>
      <c r="AW1048"/>
      <c r="BK1048" s="66"/>
      <c r="BL1048"/>
      <c r="BM1048"/>
      <c r="BN1048"/>
      <c r="BO1048"/>
      <c r="BQ1048" s="66"/>
      <c r="BR1048"/>
      <c r="BS1048"/>
      <c r="BT1048"/>
      <c r="BU1048"/>
    </row>
    <row r="1049" spans="39:73" x14ac:dyDescent="0.25">
      <c r="AM1049" s="66"/>
      <c r="AN1049"/>
      <c r="AO1049"/>
      <c r="AP1049"/>
      <c r="AQ1049"/>
      <c r="AS1049" s="66"/>
      <c r="AT1049"/>
      <c r="AU1049"/>
      <c r="AV1049"/>
      <c r="AW1049"/>
      <c r="BK1049" s="66"/>
      <c r="BL1049"/>
      <c r="BM1049"/>
      <c r="BN1049"/>
      <c r="BO1049"/>
      <c r="BQ1049" s="66"/>
      <c r="BR1049"/>
      <c r="BS1049"/>
      <c r="BT1049"/>
      <c r="BU1049"/>
    </row>
    <row r="1050" spans="39:73" x14ac:dyDescent="0.25">
      <c r="AM1050" s="66"/>
      <c r="AN1050"/>
      <c r="AO1050"/>
      <c r="AP1050"/>
      <c r="AQ1050"/>
      <c r="AS1050" s="66"/>
      <c r="AT1050"/>
      <c r="AU1050"/>
      <c r="AV1050"/>
      <c r="AW1050"/>
      <c r="BK1050" s="66"/>
      <c r="BL1050"/>
      <c r="BM1050"/>
      <c r="BN1050"/>
      <c r="BO1050"/>
      <c r="BQ1050" s="66"/>
      <c r="BR1050"/>
      <c r="BS1050"/>
      <c r="BT1050"/>
      <c r="BU1050"/>
    </row>
    <row r="1051" spans="39:73" x14ac:dyDescent="0.25">
      <c r="AM1051" s="66"/>
      <c r="AN1051"/>
      <c r="AO1051"/>
      <c r="AP1051"/>
      <c r="AQ1051"/>
      <c r="AS1051" s="66"/>
      <c r="AT1051"/>
      <c r="AU1051"/>
      <c r="AV1051"/>
      <c r="AW1051"/>
      <c r="BK1051" s="66"/>
      <c r="BL1051"/>
      <c r="BM1051"/>
      <c r="BN1051"/>
      <c r="BO1051"/>
      <c r="BQ1051" s="66"/>
      <c r="BR1051"/>
      <c r="BS1051"/>
      <c r="BT1051"/>
      <c r="BU1051"/>
    </row>
    <row r="1052" spans="39:73" x14ac:dyDescent="0.25">
      <c r="AM1052" s="66"/>
      <c r="AN1052"/>
      <c r="AO1052"/>
      <c r="AP1052"/>
      <c r="AQ1052"/>
      <c r="AS1052" s="66"/>
      <c r="AT1052"/>
      <c r="AU1052"/>
      <c r="AV1052"/>
      <c r="AW1052"/>
      <c r="BK1052" s="66"/>
      <c r="BL1052"/>
      <c r="BM1052"/>
      <c r="BN1052"/>
      <c r="BO1052"/>
      <c r="BQ1052" s="66"/>
      <c r="BR1052"/>
      <c r="BS1052"/>
      <c r="BT1052"/>
      <c r="BU1052"/>
    </row>
    <row r="1053" spans="39:73" x14ac:dyDescent="0.25">
      <c r="AM1053" s="66"/>
      <c r="AN1053"/>
      <c r="AO1053"/>
      <c r="AP1053"/>
      <c r="AQ1053"/>
      <c r="AS1053" s="66"/>
      <c r="AT1053"/>
      <c r="AU1053"/>
      <c r="AV1053"/>
      <c r="AW1053"/>
      <c r="BK1053" s="66"/>
      <c r="BL1053"/>
      <c r="BM1053"/>
      <c r="BN1053"/>
      <c r="BO1053"/>
      <c r="BQ1053" s="66"/>
      <c r="BR1053"/>
      <c r="BS1053"/>
      <c r="BT1053"/>
      <c r="BU1053"/>
    </row>
    <row r="1054" spans="39:73" x14ac:dyDescent="0.25">
      <c r="AM1054" s="66"/>
      <c r="AN1054"/>
      <c r="AO1054"/>
      <c r="AP1054"/>
      <c r="AQ1054"/>
      <c r="AS1054" s="66"/>
      <c r="AT1054"/>
      <c r="AU1054"/>
      <c r="AV1054"/>
      <c r="AW1054"/>
      <c r="BK1054" s="66"/>
      <c r="BL1054"/>
      <c r="BM1054"/>
      <c r="BN1054"/>
      <c r="BO1054"/>
      <c r="BQ1054" s="66"/>
      <c r="BR1054"/>
      <c r="BS1054"/>
      <c r="BT1054"/>
      <c r="BU1054"/>
    </row>
    <row r="1055" spans="39:73" x14ac:dyDescent="0.25">
      <c r="AM1055" s="66"/>
      <c r="AN1055"/>
      <c r="AO1055"/>
      <c r="AP1055"/>
      <c r="AQ1055"/>
      <c r="AS1055" s="66"/>
      <c r="AT1055"/>
      <c r="AU1055"/>
      <c r="AV1055"/>
      <c r="AW1055"/>
      <c r="BK1055" s="66"/>
      <c r="BL1055"/>
      <c r="BM1055"/>
      <c r="BN1055"/>
      <c r="BO1055"/>
      <c r="BQ1055" s="66"/>
      <c r="BR1055"/>
      <c r="BS1055"/>
      <c r="BT1055"/>
      <c r="BU1055"/>
    </row>
    <row r="1056" spans="39:73" x14ac:dyDescent="0.25">
      <c r="AM1056" s="66"/>
      <c r="AN1056"/>
      <c r="AO1056"/>
      <c r="AP1056"/>
      <c r="AQ1056"/>
      <c r="AS1056" s="66"/>
      <c r="AT1056"/>
      <c r="AU1056"/>
      <c r="AV1056"/>
      <c r="AW1056"/>
      <c r="BK1056" s="66"/>
      <c r="BL1056"/>
      <c r="BM1056"/>
      <c r="BN1056"/>
      <c r="BO1056"/>
      <c r="BQ1056" s="66"/>
      <c r="BR1056"/>
      <c r="BS1056"/>
      <c r="BT1056"/>
      <c r="BU1056"/>
    </row>
    <row r="1057" spans="39:73" x14ac:dyDescent="0.25">
      <c r="AM1057" s="66"/>
      <c r="AN1057"/>
      <c r="AO1057"/>
      <c r="AP1057"/>
      <c r="AQ1057"/>
      <c r="AS1057" s="66"/>
      <c r="AT1057"/>
      <c r="AU1057"/>
      <c r="AV1057"/>
      <c r="AW1057"/>
      <c r="BK1057" s="66"/>
      <c r="BL1057"/>
      <c r="BM1057"/>
      <c r="BN1057"/>
      <c r="BO1057"/>
      <c r="BQ1057" s="66"/>
      <c r="BR1057"/>
      <c r="BS1057"/>
      <c r="BT1057"/>
      <c r="BU1057"/>
    </row>
    <row r="1058" spans="39:73" x14ac:dyDescent="0.25">
      <c r="AM1058" s="66"/>
      <c r="AN1058"/>
      <c r="AO1058"/>
      <c r="AP1058"/>
      <c r="AQ1058"/>
      <c r="AS1058" s="66"/>
      <c r="AT1058"/>
      <c r="AU1058"/>
      <c r="AV1058"/>
      <c r="AW1058"/>
      <c r="BK1058" s="66"/>
      <c r="BL1058"/>
      <c r="BM1058"/>
      <c r="BN1058"/>
      <c r="BO1058"/>
      <c r="BQ1058" s="66"/>
      <c r="BR1058"/>
      <c r="BS1058"/>
      <c r="BT1058"/>
      <c r="BU1058"/>
    </row>
    <row r="1059" spans="39:73" x14ac:dyDescent="0.25">
      <c r="AM1059" s="66"/>
      <c r="AN1059"/>
      <c r="AO1059"/>
      <c r="AP1059"/>
      <c r="AQ1059"/>
      <c r="AS1059" s="66"/>
      <c r="AT1059"/>
      <c r="AU1059"/>
      <c r="AV1059"/>
      <c r="AW1059"/>
      <c r="BK1059" s="66"/>
      <c r="BL1059"/>
      <c r="BM1059"/>
      <c r="BN1059"/>
      <c r="BO1059"/>
      <c r="BQ1059" s="66"/>
      <c r="BR1059"/>
      <c r="BS1059"/>
      <c r="BT1059"/>
      <c r="BU1059"/>
    </row>
    <row r="1060" spans="39:73" x14ac:dyDescent="0.25">
      <c r="AM1060" s="66"/>
      <c r="AN1060"/>
      <c r="AO1060"/>
      <c r="AP1060"/>
      <c r="AQ1060"/>
      <c r="AS1060" s="66"/>
      <c r="AT1060"/>
      <c r="AU1060"/>
      <c r="AV1060"/>
      <c r="AW1060"/>
      <c r="BK1060" s="66"/>
      <c r="BL1060"/>
      <c r="BM1060"/>
      <c r="BN1060"/>
      <c r="BO1060"/>
      <c r="BQ1060" s="66"/>
      <c r="BR1060"/>
      <c r="BS1060"/>
      <c r="BT1060"/>
      <c r="BU1060"/>
    </row>
    <row r="1061" spans="39:73" x14ac:dyDescent="0.25">
      <c r="AM1061" s="66"/>
      <c r="AN1061"/>
      <c r="AO1061"/>
      <c r="AP1061"/>
      <c r="AQ1061"/>
      <c r="AS1061" s="66"/>
      <c r="AT1061"/>
      <c r="AU1061"/>
      <c r="AV1061"/>
      <c r="AW1061"/>
      <c r="BK1061" s="66"/>
      <c r="BL1061"/>
      <c r="BM1061"/>
      <c r="BN1061"/>
      <c r="BO1061"/>
      <c r="BQ1061" s="66"/>
      <c r="BR1061"/>
      <c r="BS1061"/>
      <c r="BT1061"/>
      <c r="BU1061"/>
    </row>
    <row r="1062" spans="39:73" x14ac:dyDescent="0.25">
      <c r="AM1062" s="66"/>
      <c r="AN1062"/>
      <c r="AO1062"/>
      <c r="AP1062"/>
      <c r="AQ1062"/>
      <c r="AS1062" s="66"/>
      <c r="AT1062"/>
      <c r="AU1062"/>
      <c r="AV1062"/>
      <c r="AW1062"/>
      <c r="BK1062" s="66"/>
      <c r="BL1062"/>
      <c r="BM1062"/>
      <c r="BN1062"/>
      <c r="BO1062"/>
      <c r="BQ1062" s="66"/>
      <c r="BR1062"/>
      <c r="BS1062"/>
      <c r="BT1062"/>
      <c r="BU1062"/>
    </row>
    <row r="1063" spans="39:73" x14ac:dyDescent="0.25">
      <c r="AM1063" s="66"/>
      <c r="AN1063"/>
      <c r="AO1063"/>
      <c r="AP1063"/>
      <c r="AQ1063"/>
      <c r="AS1063" s="66"/>
      <c r="AT1063"/>
      <c r="AU1063"/>
      <c r="AV1063"/>
      <c r="AW1063"/>
      <c r="BK1063" s="66"/>
      <c r="BL1063"/>
      <c r="BM1063"/>
      <c r="BN1063"/>
      <c r="BO1063"/>
      <c r="BQ1063" s="66"/>
      <c r="BR1063"/>
      <c r="BS1063"/>
      <c r="BT1063"/>
      <c r="BU1063"/>
    </row>
    <row r="1064" spans="39:73" x14ac:dyDescent="0.25">
      <c r="AM1064" s="66"/>
      <c r="AN1064"/>
      <c r="AO1064"/>
      <c r="AP1064"/>
      <c r="AQ1064"/>
      <c r="AS1064" s="66"/>
      <c r="AT1064"/>
      <c r="AU1064"/>
      <c r="AV1064"/>
      <c r="AW1064"/>
      <c r="BK1064" s="66"/>
      <c r="BL1064"/>
      <c r="BM1064"/>
      <c r="BN1064"/>
      <c r="BO1064"/>
      <c r="BQ1064" s="66"/>
      <c r="BR1064"/>
      <c r="BS1064"/>
      <c r="BT1064"/>
      <c r="BU1064"/>
    </row>
    <row r="1065" spans="39:73" x14ac:dyDescent="0.25">
      <c r="AM1065" s="66"/>
      <c r="AN1065"/>
      <c r="AO1065"/>
      <c r="AP1065"/>
      <c r="AQ1065"/>
      <c r="AS1065" s="66"/>
      <c r="AT1065"/>
      <c r="AU1065"/>
      <c r="AV1065"/>
      <c r="AW1065"/>
      <c r="BK1065" s="66"/>
      <c r="BL1065"/>
      <c r="BM1065"/>
      <c r="BN1065"/>
      <c r="BO1065"/>
      <c r="BQ1065" s="66"/>
      <c r="BR1065"/>
      <c r="BS1065"/>
      <c r="BT1065"/>
      <c r="BU1065"/>
    </row>
    <row r="1066" spans="39:73" x14ac:dyDescent="0.25">
      <c r="AM1066" s="66"/>
      <c r="AN1066"/>
      <c r="AO1066"/>
      <c r="AP1066"/>
      <c r="AQ1066"/>
      <c r="AS1066" s="66"/>
      <c r="AT1066"/>
      <c r="AU1066"/>
      <c r="AV1066"/>
      <c r="AW1066"/>
      <c r="BK1066" s="66"/>
      <c r="BL1066"/>
      <c r="BM1066"/>
      <c r="BN1066"/>
      <c r="BO1066"/>
      <c r="BQ1066" s="66"/>
      <c r="BR1066"/>
      <c r="BS1066"/>
      <c r="BT1066"/>
      <c r="BU1066"/>
    </row>
    <row r="1067" spans="39:73" x14ac:dyDescent="0.25">
      <c r="AM1067" s="66"/>
      <c r="AN1067"/>
      <c r="AO1067"/>
      <c r="AP1067"/>
      <c r="AQ1067"/>
      <c r="AS1067" s="66"/>
      <c r="AT1067"/>
      <c r="AU1067"/>
      <c r="AV1067"/>
      <c r="AW1067"/>
      <c r="BK1067" s="66"/>
      <c r="BL1067"/>
      <c r="BM1067"/>
      <c r="BN1067"/>
      <c r="BO1067"/>
      <c r="BQ1067" s="66"/>
      <c r="BR1067"/>
      <c r="BS1067"/>
      <c r="BT1067"/>
      <c r="BU1067"/>
    </row>
    <row r="1068" spans="39:73" x14ac:dyDescent="0.25">
      <c r="AM1068" s="66"/>
      <c r="AN1068"/>
      <c r="AO1068"/>
      <c r="AP1068"/>
      <c r="AQ1068"/>
      <c r="AS1068" s="66"/>
      <c r="AT1068"/>
      <c r="AU1068"/>
      <c r="AV1068"/>
      <c r="AW1068"/>
      <c r="BK1068" s="66"/>
      <c r="BL1068"/>
      <c r="BM1068"/>
      <c r="BN1068"/>
      <c r="BO1068"/>
      <c r="BQ1068" s="66"/>
      <c r="BR1068"/>
      <c r="BS1068"/>
      <c r="BT1068"/>
      <c r="BU1068"/>
    </row>
    <row r="1069" spans="39:73" x14ac:dyDescent="0.25">
      <c r="AM1069" s="66"/>
      <c r="AN1069"/>
      <c r="AO1069"/>
      <c r="AP1069"/>
      <c r="AQ1069"/>
      <c r="AS1069" s="66"/>
      <c r="AT1069"/>
      <c r="AU1069"/>
      <c r="AV1069"/>
      <c r="AW1069"/>
      <c r="BK1069" s="66"/>
      <c r="BL1069"/>
      <c r="BM1069"/>
      <c r="BN1069"/>
      <c r="BO1069"/>
      <c r="BQ1069" s="66"/>
      <c r="BR1069"/>
      <c r="BS1069"/>
      <c r="BT1069"/>
      <c r="BU1069"/>
    </row>
    <row r="1070" spans="39:73" x14ac:dyDescent="0.25">
      <c r="AM1070" s="66"/>
      <c r="AN1070"/>
      <c r="AO1070"/>
      <c r="AP1070"/>
      <c r="AQ1070"/>
      <c r="AS1070" s="66"/>
      <c r="AT1070"/>
      <c r="AU1070"/>
      <c r="AV1070"/>
      <c r="AW1070"/>
      <c r="BK1070" s="66"/>
      <c r="BL1070"/>
      <c r="BM1070"/>
      <c r="BN1070"/>
      <c r="BO1070"/>
      <c r="BQ1070" s="66"/>
      <c r="BR1070"/>
      <c r="BS1070"/>
      <c r="BT1070"/>
      <c r="BU1070"/>
    </row>
    <row r="1071" spans="39:73" x14ac:dyDescent="0.25">
      <c r="AM1071" s="66"/>
      <c r="AN1071"/>
      <c r="AO1071"/>
      <c r="AP1071"/>
      <c r="AQ1071"/>
      <c r="AS1071" s="66"/>
      <c r="AT1071"/>
      <c r="AU1071"/>
      <c r="AV1071"/>
      <c r="AW1071"/>
      <c r="BK1071" s="66"/>
      <c r="BL1071"/>
      <c r="BM1071"/>
      <c r="BN1071"/>
      <c r="BO1071"/>
      <c r="BQ1071" s="66"/>
      <c r="BR1071"/>
      <c r="BS1071"/>
      <c r="BT1071"/>
      <c r="BU1071"/>
    </row>
    <row r="1072" spans="39:73" x14ac:dyDescent="0.25">
      <c r="AM1072" s="66"/>
      <c r="AN1072"/>
      <c r="AO1072"/>
      <c r="AP1072"/>
      <c r="AQ1072"/>
      <c r="AS1072" s="66"/>
      <c r="AT1072"/>
      <c r="AU1072"/>
      <c r="AV1072"/>
      <c r="AW1072"/>
      <c r="BK1072" s="66"/>
      <c r="BL1072"/>
      <c r="BM1072"/>
      <c r="BN1072"/>
      <c r="BO1072"/>
      <c r="BQ1072" s="66"/>
      <c r="BR1072"/>
      <c r="BS1072"/>
      <c r="BT1072"/>
      <c r="BU1072"/>
    </row>
    <row r="1073" spans="39:73" x14ac:dyDescent="0.25">
      <c r="AM1073" s="66"/>
      <c r="AN1073"/>
      <c r="AO1073"/>
      <c r="AP1073"/>
      <c r="AQ1073"/>
      <c r="AS1073" s="66"/>
      <c r="AT1073"/>
      <c r="AU1073"/>
      <c r="AV1073"/>
      <c r="AW1073"/>
      <c r="BK1073" s="66"/>
      <c r="BL1073"/>
      <c r="BM1073"/>
      <c r="BN1073"/>
      <c r="BO1073"/>
      <c r="BQ1073" s="66"/>
      <c r="BR1073"/>
      <c r="BS1073"/>
      <c r="BT1073"/>
      <c r="BU1073"/>
    </row>
    <row r="1074" spans="39:73" x14ac:dyDescent="0.25">
      <c r="AM1074" s="66"/>
      <c r="AN1074"/>
      <c r="AO1074"/>
      <c r="AP1074"/>
      <c r="AQ1074"/>
      <c r="AS1074" s="66"/>
      <c r="AT1074"/>
      <c r="AU1074"/>
      <c r="AV1074"/>
      <c r="AW1074"/>
      <c r="BK1074" s="66"/>
      <c r="BL1074"/>
      <c r="BM1074"/>
      <c r="BN1074"/>
      <c r="BO1074"/>
      <c r="BQ1074" s="66"/>
      <c r="BR1074"/>
      <c r="BS1074"/>
      <c r="BT1074"/>
      <c r="BU1074"/>
    </row>
    <row r="1075" spans="39:73" x14ac:dyDescent="0.25">
      <c r="AM1075" s="66"/>
      <c r="AN1075"/>
      <c r="AO1075"/>
      <c r="AP1075"/>
      <c r="AQ1075"/>
      <c r="AS1075" s="66"/>
      <c r="AT1075"/>
      <c r="AU1075"/>
      <c r="AV1075"/>
      <c r="AW1075"/>
      <c r="BK1075" s="66"/>
      <c r="BL1075"/>
      <c r="BM1075"/>
      <c r="BN1075"/>
      <c r="BO1075"/>
      <c r="BQ1075" s="66"/>
      <c r="BR1075"/>
      <c r="BS1075"/>
      <c r="BT1075"/>
      <c r="BU1075"/>
    </row>
    <row r="1076" spans="39:73" x14ac:dyDescent="0.25">
      <c r="AM1076" s="66"/>
      <c r="AN1076"/>
      <c r="AO1076"/>
      <c r="AP1076"/>
      <c r="AQ1076"/>
      <c r="AS1076" s="66"/>
      <c r="AT1076"/>
      <c r="AU1076"/>
      <c r="AV1076"/>
      <c r="AW1076"/>
      <c r="BK1076" s="66"/>
      <c r="BL1076"/>
      <c r="BM1076"/>
      <c r="BN1076"/>
      <c r="BO1076"/>
      <c r="BQ1076" s="66"/>
      <c r="BR1076"/>
      <c r="BS1076"/>
      <c r="BT1076"/>
      <c r="BU1076"/>
    </row>
    <row r="1077" spans="39:73" x14ac:dyDescent="0.25">
      <c r="AM1077" s="66"/>
      <c r="AN1077"/>
      <c r="AO1077"/>
      <c r="AP1077"/>
      <c r="AQ1077"/>
      <c r="AS1077" s="66"/>
      <c r="AT1077"/>
      <c r="AU1077"/>
      <c r="AV1077"/>
      <c r="AW1077"/>
      <c r="BK1077" s="66"/>
      <c r="BL1077"/>
      <c r="BM1077"/>
      <c r="BN1077"/>
      <c r="BO1077"/>
      <c r="BQ1077" s="66"/>
      <c r="BR1077"/>
      <c r="BS1077"/>
      <c r="BT1077"/>
      <c r="BU1077"/>
    </row>
    <row r="1078" spans="39:73" x14ac:dyDescent="0.25">
      <c r="AM1078" s="66"/>
      <c r="AN1078"/>
      <c r="AO1078"/>
      <c r="AP1078"/>
      <c r="AQ1078"/>
      <c r="AS1078" s="66"/>
      <c r="AT1078"/>
      <c r="AU1078"/>
      <c r="AV1078"/>
      <c r="AW1078"/>
      <c r="BK1078" s="66"/>
      <c r="BL1078"/>
      <c r="BM1078"/>
      <c r="BN1078"/>
      <c r="BO1078"/>
      <c r="BQ1078" s="66"/>
      <c r="BR1078"/>
      <c r="BS1078"/>
      <c r="BT1078"/>
      <c r="BU1078"/>
    </row>
    <row r="1079" spans="39:73" x14ac:dyDescent="0.25">
      <c r="AM1079" s="66"/>
      <c r="AN1079"/>
      <c r="AO1079"/>
      <c r="AP1079"/>
      <c r="AQ1079"/>
      <c r="AS1079" s="66"/>
      <c r="AT1079"/>
      <c r="AU1079"/>
      <c r="AV1079"/>
      <c r="AW1079"/>
      <c r="BK1079" s="66"/>
      <c r="BL1079"/>
      <c r="BM1079"/>
      <c r="BN1079"/>
      <c r="BO1079"/>
      <c r="BQ1079" s="66"/>
      <c r="BR1079"/>
      <c r="BS1079"/>
      <c r="BT1079"/>
      <c r="BU1079"/>
    </row>
    <row r="1080" spans="39:73" x14ac:dyDescent="0.25">
      <c r="AM1080" s="66"/>
      <c r="AN1080"/>
      <c r="AO1080"/>
      <c r="AP1080"/>
      <c r="AQ1080"/>
      <c r="AS1080" s="66"/>
      <c r="AT1080"/>
      <c r="AU1080"/>
      <c r="AV1080"/>
      <c r="AW1080"/>
      <c r="BK1080" s="66"/>
      <c r="BL1080"/>
      <c r="BM1080"/>
      <c r="BN1080"/>
      <c r="BO1080"/>
      <c r="BQ1080" s="66"/>
      <c r="BR1080"/>
      <c r="BS1080"/>
      <c r="BT1080"/>
      <c r="BU1080"/>
    </row>
    <row r="1081" spans="39:73" x14ac:dyDescent="0.25">
      <c r="AM1081" s="66"/>
      <c r="AN1081"/>
      <c r="AO1081"/>
      <c r="AP1081"/>
      <c r="AQ1081"/>
      <c r="AS1081" s="66"/>
      <c r="AT1081"/>
      <c r="AU1081"/>
      <c r="AV1081"/>
      <c r="AW1081"/>
      <c r="BK1081" s="66"/>
      <c r="BL1081"/>
      <c r="BM1081"/>
      <c r="BN1081"/>
      <c r="BO1081"/>
      <c r="BQ1081" s="66"/>
      <c r="BR1081"/>
      <c r="BS1081"/>
      <c r="BT1081"/>
      <c r="BU1081"/>
    </row>
    <row r="1082" spans="39:73" x14ac:dyDescent="0.25">
      <c r="AM1082" s="66"/>
      <c r="AN1082"/>
      <c r="AO1082"/>
      <c r="AP1082"/>
      <c r="AQ1082"/>
      <c r="AS1082" s="66"/>
      <c r="AT1082"/>
      <c r="AU1082"/>
      <c r="AV1082"/>
      <c r="AW1082"/>
      <c r="BK1082" s="66"/>
      <c r="BL1082"/>
      <c r="BM1082"/>
      <c r="BN1082"/>
      <c r="BO1082"/>
      <c r="BQ1082" s="66"/>
      <c r="BR1082"/>
      <c r="BS1082"/>
      <c r="BT1082"/>
      <c r="BU1082"/>
    </row>
    <row r="1083" spans="39:73" x14ac:dyDescent="0.25">
      <c r="AM1083" s="66"/>
      <c r="AN1083"/>
      <c r="AO1083"/>
      <c r="AP1083"/>
      <c r="AQ1083"/>
      <c r="AS1083" s="66"/>
      <c r="AT1083"/>
      <c r="AU1083"/>
      <c r="AV1083"/>
      <c r="AW1083"/>
      <c r="BK1083" s="66"/>
      <c r="BL1083"/>
      <c r="BM1083"/>
      <c r="BN1083"/>
      <c r="BO1083"/>
      <c r="BQ1083" s="66"/>
      <c r="BR1083"/>
      <c r="BS1083"/>
      <c r="BT1083"/>
      <c r="BU1083"/>
    </row>
    <row r="1084" spans="39:73" x14ac:dyDescent="0.25">
      <c r="AM1084" s="66"/>
      <c r="AN1084"/>
      <c r="AO1084"/>
      <c r="AP1084"/>
      <c r="AQ1084"/>
      <c r="AS1084" s="66"/>
      <c r="AT1084"/>
      <c r="AU1084"/>
      <c r="AV1084"/>
      <c r="AW1084"/>
      <c r="BK1084" s="66"/>
      <c r="BL1084"/>
      <c r="BM1084"/>
      <c r="BN1084"/>
      <c r="BO1084"/>
      <c r="BQ1084" s="66"/>
      <c r="BR1084"/>
      <c r="BS1084"/>
      <c r="BT1084"/>
      <c r="BU1084"/>
    </row>
    <row r="1085" spans="39:73" x14ac:dyDescent="0.25">
      <c r="AM1085" s="66"/>
      <c r="AN1085"/>
      <c r="AO1085"/>
      <c r="AP1085"/>
      <c r="AQ1085"/>
      <c r="AS1085" s="66"/>
      <c r="AT1085"/>
      <c r="AU1085"/>
      <c r="AV1085"/>
      <c r="AW1085"/>
      <c r="BK1085" s="66"/>
      <c r="BL1085"/>
      <c r="BM1085"/>
      <c r="BN1085"/>
      <c r="BO1085"/>
      <c r="BQ1085" s="66"/>
      <c r="BR1085"/>
      <c r="BS1085"/>
      <c r="BT1085"/>
      <c r="BU1085"/>
    </row>
    <row r="1086" spans="39:73" x14ac:dyDescent="0.25">
      <c r="AM1086" s="66"/>
      <c r="AN1086"/>
      <c r="AO1086"/>
      <c r="AP1086"/>
      <c r="AQ1086"/>
      <c r="AS1086" s="66"/>
      <c r="AT1086"/>
      <c r="AU1086"/>
      <c r="AV1086"/>
      <c r="AW1086"/>
      <c r="BK1086" s="66"/>
      <c r="BL1086"/>
      <c r="BM1086"/>
      <c r="BN1086"/>
      <c r="BO1086"/>
      <c r="BQ1086" s="66"/>
      <c r="BR1086"/>
      <c r="BS1086"/>
      <c r="BT1086"/>
      <c r="BU1086"/>
    </row>
    <row r="1087" spans="39:73" x14ac:dyDescent="0.25">
      <c r="AM1087" s="66"/>
      <c r="AN1087"/>
      <c r="AO1087"/>
      <c r="AP1087"/>
      <c r="AQ1087"/>
      <c r="AS1087" s="66"/>
      <c r="AT1087"/>
      <c r="AU1087"/>
      <c r="AV1087"/>
      <c r="AW1087"/>
      <c r="BK1087" s="66"/>
      <c r="BL1087"/>
      <c r="BM1087"/>
      <c r="BN1087"/>
      <c r="BO1087"/>
      <c r="BQ1087" s="66"/>
      <c r="BR1087"/>
      <c r="BS1087"/>
      <c r="BT1087"/>
      <c r="BU1087"/>
    </row>
    <row r="1088" spans="39:73" x14ac:dyDescent="0.25">
      <c r="AM1088" s="66"/>
      <c r="AN1088"/>
      <c r="AO1088"/>
      <c r="AP1088"/>
      <c r="AQ1088"/>
      <c r="AS1088" s="66"/>
      <c r="AT1088"/>
      <c r="AU1088"/>
      <c r="AV1088"/>
      <c r="AW1088"/>
      <c r="BK1088" s="66"/>
      <c r="BL1088"/>
      <c r="BM1088"/>
      <c r="BN1088"/>
      <c r="BO1088"/>
      <c r="BQ1088" s="66"/>
      <c r="BR1088"/>
      <c r="BS1088"/>
      <c r="BT1088"/>
      <c r="BU1088"/>
    </row>
    <row r="1089" spans="39:73" x14ac:dyDescent="0.25">
      <c r="AM1089" s="66"/>
      <c r="AN1089"/>
      <c r="AO1089"/>
      <c r="AP1089"/>
      <c r="AQ1089"/>
      <c r="AS1089" s="66"/>
      <c r="AT1089"/>
      <c r="AU1089"/>
      <c r="AV1089"/>
      <c r="AW1089"/>
      <c r="BK1089" s="66"/>
      <c r="BL1089"/>
      <c r="BM1089"/>
      <c r="BN1089"/>
      <c r="BO1089"/>
      <c r="BQ1089" s="66"/>
      <c r="BR1089"/>
      <c r="BS1089"/>
      <c r="BT1089"/>
      <c r="BU1089"/>
    </row>
    <row r="1090" spans="39:73" x14ac:dyDescent="0.25">
      <c r="AM1090" s="66"/>
      <c r="AN1090"/>
      <c r="AO1090"/>
      <c r="AP1090"/>
      <c r="AQ1090"/>
      <c r="AS1090" s="66"/>
      <c r="AT1090"/>
      <c r="AU1090"/>
      <c r="AV1090"/>
      <c r="AW1090"/>
      <c r="BK1090" s="66"/>
      <c r="BL1090"/>
      <c r="BM1090"/>
      <c r="BN1090"/>
      <c r="BO1090"/>
      <c r="BQ1090" s="66"/>
      <c r="BR1090"/>
      <c r="BS1090"/>
      <c r="BT1090"/>
      <c r="BU1090"/>
    </row>
    <row r="1091" spans="39:73" x14ac:dyDescent="0.25">
      <c r="AM1091" s="66"/>
      <c r="AN1091"/>
      <c r="AO1091"/>
      <c r="AP1091"/>
      <c r="AQ1091"/>
      <c r="AS1091" s="66"/>
      <c r="AT1091"/>
      <c r="AU1091"/>
      <c r="AV1091"/>
      <c r="AW1091"/>
      <c r="BK1091" s="66"/>
      <c r="BL1091"/>
      <c r="BM1091"/>
      <c r="BN1091"/>
      <c r="BO1091"/>
      <c r="BQ1091" s="66"/>
      <c r="BR1091"/>
      <c r="BS1091"/>
      <c r="BT1091"/>
      <c r="BU1091"/>
    </row>
    <row r="1092" spans="39:73" x14ac:dyDescent="0.25">
      <c r="AM1092" s="66"/>
      <c r="AN1092"/>
      <c r="AO1092"/>
      <c r="AP1092"/>
      <c r="AQ1092"/>
      <c r="AS1092" s="66"/>
      <c r="AT1092"/>
      <c r="AU1092"/>
      <c r="AV1092"/>
      <c r="AW1092"/>
      <c r="BK1092" s="66"/>
      <c r="BL1092"/>
      <c r="BM1092"/>
      <c r="BN1092"/>
      <c r="BO1092"/>
      <c r="BQ1092" s="66"/>
      <c r="BR1092"/>
      <c r="BS1092"/>
      <c r="BT1092"/>
      <c r="BU1092"/>
    </row>
    <row r="1093" spans="39:73" x14ac:dyDescent="0.25">
      <c r="AM1093" s="66"/>
      <c r="AN1093"/>
      <c r="AO1093"/>
      <c r="AP1093"/>
      <c r="AQ1093"/>
      <c r="AS1093" s="66"/>
      <c r="AT1093"/>
      <c r="AU1093"/>
      <c r="AV1093"/>
      <c r="AW1093"/>
      <c r="BK1093" s="66"/>
      <c r="BL1093"/>
      <c r="BM1093"/>
      <c r="BN1093"/>
      <c r="BO1093"/>
      <c r="BQ1093" s="66"/>
      <c r="BR1093"/>
      <c r="BS1093"/>
      <c r="BT1093"/>
      <c r="BU1093"/>
    </row>
    <row r="1094" spans="39:73" x14ac:dyDescent="0.25">
      <c r="AM1094" s="66"/>
      <c r="AN1094"/>
      <c r="AO1094"/>
      <c r="AP1094"/>
      <c r="AQ1094"/>
      <c r="AS1094" s="66"/>
      <c r="AT1094"/>
      <c r="AU1094"/>
      <c r="AV1094"/>
      <c r="AW1094"/>
      <c r="BK1094" s="66"/>
      <c r="BL1094"/>
      <c r="BM1094"/>
      <c r="BN1094"/>
      <c r="BO1094"/>
      <c r="BQ1094" s="66"/>
      <c r="BR1094"/>
      <c r="BS1094"/>
      <c r="BT1094"/>
      <c r="BU1094"/>
    </row>
    <row r="1095" spans="39:73" x14ac:dyDescent="0.25">
      <c r="AM1095" s="66"/>
      <c r="AN1095"/>
      <c r="AO1095"/>
      <c r="AP1095"/>
      <c r="AQ1095"/>
      <c r="AS1095" s="66"/>
      <c r="AT1095"/>
      <c r="AU1095"/>
      <c r="AV1095"/>
      <c r="AW1095"/>
      <c r="BK1095" s="66"/>
      <c r="BL1095"/>
      <c r="BM1095"/>
      <c r="BN1095"/>
      <c r="BO1095"/>
      <c r="BQ1095" s="66"/>
      <c r="BR1095"/>
      <c r="BS1095"/>
      <c r="BT1095"/>
      <c r="BU1095"/>
    </row>
    <row r="1096" spans="39:73" x14ac:dyDescent="0.25">
      <c r="AM1096" s="66"/>
      <c r="AN1096"/>
      <c r="AO1096"/>
      <c r="AP1096"/>
      <c r="AQ1096"/>
      <c r="AS1096" s="66"/>
      <c r="AT1096"/>
      <c r="AU1096"/>
      <c r="AV1096"/>
      <c r="AW1096"/>
      <c r="BK1096" s="66"/>
      <c r="BL1096"/>
      <c r="BM1096"/>
      <c r="BN1096"/>
      <c r="BO1096"/>
      <c r="BQ1096" s="66"/>
      <c r="BR1096"/>
      <c r="BS1096"/>
      <c r="BT1096"/>
      <c r="BU1096"/>
    </row>
    <row r="1097" spans="39:73" x14ac:dyDescent="0.25">
      <c r="AM1097" s="66"/>
      <c r="AN1097"/>
      <c r="AO1097"/>
      <c r="AP1097"/>
      <c r="AQ1097"/>
      <c r="AS1097" s="66"/>
      <c r="AT1097"/>
      <c r="AU1097"/>
      <c r="AV1097"/>
      <c r="AW1097"/>
      <c r="BK1097" s="66"/>
      <c r="BL1097"/>
      <c r="BM1097"/>
      <c r="BN1097"/>
      <c r="BO1097"/>
      <c r="BQ1097" s="66"/>
      <c r="BR1097"/>
      <c r="BS1097"/>
      <c r="BT1097"/>
      <c r="BU1097"/>
    </row>
    <row r="1098" spans="39:73" x14ac:dyDescent="0.25">
      <c r="AM1098" s="66"/>
      <c r="AN1098"/>
      <c r="AO1098"/>
      <c r="AP1098"/>
      <c r="AQ1098"/>
      <c r="AS1098" s="66"/>
      <c r="AT1098"/>
      <c r="AU1098"/>
      <c r="AV1098"/>
      <c r="AW1098"/>
      <c r="BK1098" s="66"/>
      <c r="BL1098"/>
      <c r="BM1098"/>
      <c r="BN1098"/>
      <c r="BO1098"/>
      <c r="BQ1098" s="66"/>
      <c r="BR1098"/>
      <c r="BS1098"/>
      <c r="BT1098"/>
      <c r="BU1098"/>
    </row>
    <row r="1099" spans="39:73" x14ac:dyDescent="0.25">
      <c r="AM1099" s="66"/>
      <c r="AN1099"/>
      <c r="AO1099"/>
      <c r="AP1099"/>
      <c r="AQ1099"/>
      <c r="AS1099" s="66"/>
      <c r="AT1099"/>
      <c r="AU1099"/>
      <c r="AV1099"/>
      <c r="AW1099"/>
      <c r="BK1099" s="66"/>
      <c r="BL1099"/>
      <c r="BM1099"/>
      <c r="BN1099"/>
      <c r="BO1099"/>
      <c r="BQ1099" s="66"/>
      <c r="BR1099"/>
      <c r="BS1099"/>
      <c r="BT1099"/>
      <c r="BU1099"/>
    </row>
    <row r="1100" spans="39:73" x14ac:dyDescent="0.25">
      <c r="AM1100" s="66"/>
      <c r="AN1100"/>
      <c r="AO1100"/>
      <c r="AP1100"/>
      <c r="AQ1100"/>
      <c r="AS1100" s="66"/>
      <c r="AT1100"/>
      <c r="AU1100"/>
      <c r="AV1100"/>
      <c r="AW1100"/>
      <c r="BK1100" s="66"/>
      <c r="BL1100"/>
      <c r="BM1100"/>
      <c r="BN1100"/>
      <c r="BO1100"/>
      <c r="BQ1100" s="66"/>
      <c r="BR1100"/>
      <c r="BS1100"/>
      <c r="BT1100"/>
      <c r="BU1100"/>
    </row>
    <row r="1101" spans="39:73" x14ac:dyDescent="0.25">
      <c r="AM1101" s="66"/>
      <c r="AN1101"/>
      <c r="AO1101"/>
      <c r="AP1101"/>
      <c r="AQ1101"/>
      <c r="AS1101" s="66"/>
      <c r="AT1101"/>
      <c r="AU1101"/>
      <c r="AV1101"/>
      <c r="AW1101"/>
      <c r="BK1101" s="66"/>
      <c r="BL1101"/>
      <c r="BM1101"/>
      <c r="BN1101"/>
      <c r="BO1101"/>
      <c r="BQ1101" s="66"/>
      <c r="BR1101"/>
      <c r="BS1101"/>
      <c r="BT1101"/>
      <c r="BU1101"/>
    </row>
    <row r="1102" spans="39:73" x14ac:dyDescent="0.25">
      <c r="AM1102" s="66"/>
      <c r="AN1102"/>
      <c r="AO1102"/>
      <c r="AP1102"/>
      <c r="AQ1102"/>
      <c r="AS1102" s="66"/>
      <c r="AT1102"/>
      <c r="AU1102"/>
      <c r="AV1102"/>
      <c r="AW1102"/>
      <c r="BK1102" s="66"/>
      <c r="BL1102"/>
      <c r="BM1102"/>
      <c r="BN1102"/>
      <c r="BO1102"/>
      <c r="BQ1102" s="66"/>
      <c r="BR1102"/>
      <c r="BS1102"/>
      <c r="BT1102"/>
      <c r="BU1102"/>
    </row>
    <row r="1103" spans="39:73" x14ac:dyDescent="0.25">
      <c r="AM1103" s="66"/>
      <c r="AN1103"/>
      <c r="AO1103"/>
      <c r="AP1103"/>
      <c r="AQ1103"/>
      <c r="AS1103" s="66"/>
      <c r="AT1103"/>
      <c r="AU1103"/>
      <c r="AV1103"/>
      <c r="AW1103"/>
      <c r="BK1103" s="66"/>
      <c r="BL1103"/>
      <c r="BM1103"/>
      <c r="BN1103"/>
      <c r="BO1103"/>
      <c r="BQ1103" s="66"/>
      <c r="BR1103"/>
      <c r="BS1103"/>
      <c r="BT1103"/>
      <c r="BU1103"/>
    </row>
    <row r="1104" spans="39:73" x14ac:dyDescent="0.25">
      <c r="AM1104" s="66"/>
      <c r="AN1104"/>
      <c r="AO1104"/>
      <c r="AP1104"/>
      <c r="AQ1104"/>
      <c r="AS1104" s="66"/>
      <c r="AT1104"/>
      <c r="AU1104"/>
      <c r="AV1104"/>
      <c r="AW1104"/>
      <c r="BK1104" s="66"/>
      <c r="BL1104"/>
      <c r="BM1104"/>
      <c r="BN1104"/>
      <c r="BO1104"/>
      <c r="BQ1104" s="66"/>
      <c r="BR1104"/>
      <c r="BS1104"/>
      <c r="BT1104"/>
      <c r="BU1104"/>
    </row>
    <row r="1105" spans="39:73" x14ac:dyDescent="0.25">
      <c r="AM1105" s="66"/>
      <c r="AN1105"/>
      <c r="AO1105"/>
      <c r="AP1105"/>
      <c r="AQ1105"/>
      <c r="AS1105" s="66"/>
      <c r="AT1105"/>
      <c r="AU1105"/>
      <c r="AV1105"/>
      <c r="AW1105"/>
      <c r="BK1105" s="66"/>
      <c r="BL1105"/>
      <c r="BM1105"/>
      <c r="BN1105"/>
      <c r="BO1105"/>
      <c r="BQ1105" s="66"/>
      <c r="BR1105"/>
      <c r="BS1105"/>
      <c r="BT1105"/>
      <c r="BU1105"/>
    </row>
    <row r="1106" spans="39:73" x14ac:dyDescent="0.25">
      <c r="AM1106" s="66"/>
      <c r="AN1106"/>
      <c r="AO1106"/>
      <c r="AP1106"/>
      <c r="AQ1106"/>
      <c r="AS1106" s="66"/>
      <c r="AT1106"/>
      <c r="AU1106"/>
      <c r="AV1106"/>
      <c r="AW1106"/>
      <c r="BK1106" s="66"/>
      <c r="BL1106"/>
      <c r="BM1106"/>
      <c r="BN1106"/>
      <c r="BO1106"/>
      <c r="BQ1106" s="66"/>
      <c r="BR1106"/>
      <c r="BS1106"/>
      <c r="BT1106"/>
      <c r="BU1106"/>
    </row>
    <row r="1107" spans="39:73" x14ac:dyDescent="0.25">
      <c r="AM1107" s="66"/>
      <c r="AN1107"/>
      <c r="AO1107"/>
      <c r="AP1107"/>
      <c r="AQ1107"/>
      <c r="AS1107" s="66"/>
      <c r="AT1107"/>
      <c r="AU1107"/>
      <c r="AV1107"/>
      <c r="AW1107"/>
      <c r="BK1107" s="66"/>
      <c r="BL1107"/>
      <c r="BM1107"/>
      <c r="BN1107"/>
      <c r="BO1107"/>
      <c r="BQ1107" s="66"/>
      <c r="BR1107"/>
      <c r="BS1107"/>
      <c r="BT1107"/>
      <c r="BU1107"/>
    </row>
    <row r="1108" spans="39:73" x14ac:dyDescent="0.25">
      <c r="AM1108" s="66"/>
      <c r="AN1108"/>
      <c r="AO1108"/>
      <c r="AP1108"/>
      <c r="AQ1108"/>
      <c r="AS1108" s="66"/>
      <c r="AT1108"/>
      <c r="AU1108"/>
      <c r="AV1108"/>
      <c r="AW1108"/>
      <c r="BK1108" s="66"/>
      <c r="BL1108"/>
      <c r="BM1108"/>
      <c r="BN1108"/>
      <c r="BO1108"/>
      <c r="BQ1108" s="66"/>
      <c r="BR1108"/>
      <c r="BS1108"/>
      <c r="BT1108"/>
      <c r="BU1108"/>
    </row>
    <row r="1109" spans="39:73" x14ac:dyDescent="0.25">
      <c r="AM1109" s="66"/>
      <c r="AN1109"/>
      <c r="AO1109"/>
      <c r="AP1109"/>
      <c r="AQ1109"/>
      <c r="AS1109" s="66"/>
      <c r="AT1109"/>
      <c r="AU1109"/>
      <c r="AV1109"/>
      <c r="AW1109"/>
      <c r="BK1109" s="66"/>
      <c r="BL1109"/>
      <c r="BM1109"/>
      <c r="BN1109"/>
      <c r="BO1109"/>
      <c r="BQ1109" s="66"/>
      <c r="BR1109"/>
      <c r="BS1109"/>
      <c r="BT1109"/>
      <c r="BU1109"/>
    </row>
    <row r="1110" spans="39:73" x14ac:dyDescent="0.25">
      <c r="AM1110" s="66"/>
      <c r="AN1110"/>
      <c r="AO1110"/>
      <c r="AP1110"/>
      <c r="AQ1110"/>
      <c r="AS1110" s="66"/>
      <c r="AT1110"/>
      <c r="AU1110"/>
      <c r="AV1110"/>
      <c r="AW1110"/>
      <c r="BK1110" s="66"/>
      <c r="BL1110"/>
      <c r="BM1110"/>
      <c r="BN1110"/>
      <c r="BO1110"/>
      <c r="BQ1110" s="66"/>
      <c r="BR1110"/>
      <c r="BS1110"/>
      <c r="BT1110"/>
      <c r="BU1110"/>
    </row>
    <row r="1111" spans="39:73" x14ac:dyDescent="0.25">
      <c r="AM1111" s="66"/>
      <c r="AN1111"/>
      <c r="AO1111"/>
      <c r="AP1111"/>
      <c r="AQ1111"/>
      <c r="AS1111" s="66"/>
      <c r="AT1111"/>
      <c r="AU1111"/>
      <c r="AV1111"/>
      <c r="AW1111"/>
      <c r="BK1111" s="66"/>
      <c r="BL1111"/>
      <c r="BM1111"/>
      <c r="BN1111"/>
      <c r="BO1111"/>
      <c r="BQ1111" s="66"/>
      <c r="BR1111"/>
      <c r="BS1111"/>
      <c r="BT1111"/>
      <c r="BU1111"/>
    </row>
    <row r="1112" spans="39:73" x14ac:dyDescent="0.25">
      <c r="AM1112" s="66"/>
      <c r="AN1112"/>
      <c r="AO1112"/>
      <c r="AP1112"/>
      <c r="AQ1112"/>
      <c r="AS1112" s="66"/>
      <c r="AT1112"/>
      <c r="AU1112"/>
      <c r="AV1112"/>
      <c r="AW1112"/>
      <c r="BK1112" s="66"/>
      <c r="BL1112"/>
      <c r="BM1112"/>
      <c r="BN1112"/>
      <c r="BO1112"/>
      <c r="BQ1112" s="66"/>
      <c r="BR1112"/>
      <c r="BS1112"/>
      <c r="BT1112"/>
      <c r="BU1112"/>
    </row>
    <row r="1113" spans="39:73" x14ac:dyDescent="0.25">
      <c r="AM1113" s="66"/>
      <c r="AN1113"/>
      <c r="AO1113"/>
      <c r="AP1113"/>
      <c r="AQ1113"/>
      <c r="AS1113" s="66"/>
      <c r="AT1113"/>
      <c r="AU1113"/>
      <c r="AV1113"/>
      <c r="AW1113"/>
      <c r="BK1113" s="66"/>
      <c r="BL1113"/>
      <c r="BM1113"/>
      <c r="BN1113"/>
      <c r="BO1113"/>
      <c r="BQ1113" s="66"/>
      <c r="BR1113"/>
      <c r="BS1113"/>
      <c r="BT1113"/>
      <c r="BU1113"/>
    </row>
    <row r="1114" spans="39:73" x14ac:dyDescent="0.25">
      <c r="AM1114" s="66"/>
      <c r="AN1114"/>
      <c r="AO1114"/>
      <c r="AP1114"/>
      <c r="AQ1114"/>
      <c r="AS1114" s="66"/>
      <c r="AT1114"/>
      <c r="AU1114"/>
      <c r="AV1114"/>
      <c r="AW1114"/>
      <c r="BK1114" s="66"/>
      <c r="BL1114"/>
      <c r="BM1114"/>
      <c r="BN1114"/>
      <c r="BO1114"/>
      <c r="BQ1114" s="66"/>
      <c r="BR1114"/>
      <c r="BS1114"/>
      <c r="BT1114"/>
      <c r="BU1114"/>
    </row>
    <row r="1115" spans="39:73" x14ac:dyDescent="0.25">
      <c r="AM1115" s="66"/>
      <c r="AN1115"/>
      <c r="AO1115"/>
      <c r="AP1115"/>
      <c r="AQ1115"/>
      <c r="AS1115" s="66"/>
      <c r="AT1115"/>
      <c r="AU1115"/>
      <c r="AV1115"/>
      <c r="AW1115"/>
      <c r="BK1115" s="66"/>
      <c r="BL1115"/>
      <c r="BM1115"/>
      <c r="BN1115"/>
      <c r="BO1115"/>
      <c r="BQ1115" s="66"/>
      <c r="BR1115"/>
      <c r="BS1115"/>
      <c r="BT1115"/>
      <c r="BU1115"/>
    </row>
    <row r="1116" spans="39:73" x14ac:dyDescent="0.25">
      <c r="AM1116" s="66"/>
      <c r="AN1116"/>
      <c r="AO1116"/>
      <c r="AP1116"/>
      <c r="AQ1116"/>
      <c r="AS1116" s="66"/>
      <c r="AT1116"/>
      <c r="AU1116"/>
      <c r="AV1116"/>
      <c r="AW1116"/>
      <c r="BK1116" s="66"/>
      <c r="BL1116"/>
      <c r="BM1116"/>
      <c r="BN1116"/>
      <c r="BO1116"/>
      <c r="BQ1116" s="66"/>
      <c r="BR1116"/>
      <c r="BS1116"/>
      <c r="BT1116"/>
      <c r="BU1116"/>
    </row>
    <row r="1117" spans="39:73" x14ac:dyDescent="0.25">
      <c r="AM1117" s="66"/>
      <c r="AN1117"/>
      <c r="AO1117"/>
      <c r="AP1117"/>
      <c r="AQ1117"/>
      <c r="AS1117" s="66"/>
      <c r="AT1117"/>
      <c r="AU1117"/>
      <c r="AV1117"/>
      <c r="AW1117"/>
      <c r="BK1117" s="66"/>
      <c r="BL1117"/>
      <c r="BM1117"/>
      <c r="BN1117"/>
      <c r="BO1117"/>
      <c r="BQ1117" s="66"/>
      <c r="BR1117"/>
      <c r="BS1117"/>
      <c r="BT1117"/>
      <c r="BU1117"/>
    </row>
    <row r="1118" spans="39:73" x14ac:dyDescent="0.25">
      <c r="AM1118" s="66"/>
      <c r="AN1118"/>
      <c r="AO1118"/>
      <c r="AP1118"/>
      <c r="AQ1118"/>
      <c r="AS1118" s="66"/>
      <c r="AT1118"/>
      <c r="AU1118"/>
      <c r="AV1118"/>
      <c r="AW1118"/>
      <c r="BK1118" s="66"/>
      <c r="BL1118"/>
      <c r="BM1118"/>
      <c r="BN1118"/>
      <c r="BO1118"/>
      <c r="BQ1118" s="66"/>
      <c r="BR1118"/>
      <c r="BS1118"/>
      <c r="BT1118"/>
      <c r="BU1118"/>
    </row>
    <row r="1119" spans="39:73" x14ac:dyDescent="0.25">
      <c r="AM1119" s="66"/>
      <c r="AN1119"/>
      <c r="AO1119"/>
      <c r="AP1119"/>
      <c r="AQ1119"/>
      <c r="AS1119" s="66"/>
      <c r="AT1119"/>
      <c r="AU1119"/>
      <c r="AV1119"/>
      <c r="AW1119"/>
      <c r="BK1119" s="66"/>
      <c r="BL1119"/>
      <c r="BM1119"/>
      <c r="BN1119"/>
      <c r="BO1119"/>
      <c r="BQ1119" s="66"/>
      <c r="BR1119"/>
      <c r="BS1119"/>
      <c r="BT1119"/>
      <c r="BU1119"/>
    </row>
    <row r="1120" spans="39:73" x14ac:dyDescent="0.25">
      <c r="AM1120" s="66"/>
      <c r="AN1120"/>
      <c r="AO1120"/>
      <c r="AP1120"/>
      <c r="AQ1120"/>
      <c r="AS1120" s="66"/>
      <c r="AT1120"/>
      <c r="AU1120"/>
      <c r="AV1120"/>
      <c r="AW1120"/>
      <c r="BK1120" s="66"/>
      <c r="BL1120"/>
      <c r="BM1120"/>
      <c r="BN1120"/>
      <c r="BO1120"/>
      <c r="BQ1120" s="66"/>
      <c r="BR1120"/>
      <c r="BS1120"/>
      <c r="BT1120"/>
      <c r="BU1120"/>
    </row>
    <row r="1121" spans="39:73" x14ac:dyDescent="0.25">
      <c r="AM1121" s="66"/>
      <c r="AN1121"/>
      <c r="AO1121"/>
      <c r="AP1121"/>
      <c r="AQ1121"/>
      <c r="AS1121" s="66"/>
      <c r="AT1121"/>
      <c r="AU1121"/>
      <c r="AV1121"/>
      <c r="AW1121"/>
      <c r="BK1121" s="66"/>
      <c r="BL1121"/>
      <c r="BM1121"/>
      <c r="BN1121"/>
      <c r="BO1121"/>
      <c r="BQ1121" s="66"/>
      <c r="BR1121"/>
      <c r="BS1121"/>
      <c r="BT1121"/>
      <c r="BU1121"/>
    </row>
    <row r="1122" spans="39:73" x14ac:dyDescent="0.25">
      <c r="AM1122" s="66"/>
      <c r="AN1122"/>
      <c r="AO1122"/>
      <c r="AP1122"/>
      <c r="AQ1122"/>
      <c r="AS1122" s="66"/>
      <c r="AT1122"/>
      <c r="AU1122"/>
      <c r="AV1122"/>
      <c r="AW1122"/>
      <c r="BK1122" s="66"/>
      <c r="BL1122"/>
      <c r="BM1122"/>
      <c r="BN1122"/>
      <c r="BO1122"/>
      <c r="BQ1122" s="66"/>
      <c r="BR1122"/>
      <c r="BS1122"/>
      <c r="BT1122"/>
      <c r="BU1122"/>
    </row>
    <row r="1123" spans="39:73" x14ac:dyDescent="0.25">
      <c r="AM1123" s="66"/>
      <c r="AN1123"/>
      <c r="AO1123"/>
      <c r="AP1123"/>
      <c r="AQ1123"/>
      <c r="AS1123" s="66"/>
      <c r="AT1123"/>
      <c r="AU1123"/>
      <c r="AV1123"/>
      <c r="AW1123"/>
      <c r="BK1123" s="66"/>
      <c r="BL1123"/>
      <c r="BM1123"/>
      <c r="BN1123"/>
      <c r="BO1123"/>
      <c r="BQ1123" s="66"/>
      <c r="BR1123"/>
      <c r="BS1123"/>
      <c r="BT1123"/>
      <c r="BU1123"/>
    </row>
    <row r="1124" spans="39:73" x14ac:dyDescent="0.25">
      <c r="AM1124" s="66"/>
      <c r="AN1124"/>
      <c r="AO1124"/>
      <c r="AP1124"/>
      <c r="AQ1124"/>
      <c r="AS1124" s="66"/>
      <c r="AT1124"/>
      <c r="AU1124"/>
      <c r="AV1124"/>
      <c r="AW1124"/>
      <c r="BK1124" s="66"/>
      <c r="BL1124"/>
      <c r="BM1124"/>
      <c r="BN1124"/>
      <c r="BO1124"/>
      <c r="BQ1124" s="66"/>
      <c r="BR1124"/>
      <c r="BS1124"/>
      <c r="BT1124"/>
      <c r="BU1124"/>
    </row>
    <row r="1125" spans="39:73" x14ac:dyDescent="0.25">
      <c r="AM1125" s="66"/>
      <c r="AN1125"/>
      <c r="AO1125"/>
      <c r="AP1125"/>
      <c r="AQ1125"/>
      <c r="AS1125" s="66"/>
      <c r="AT1125"/>
      <c r="AU1125"/>
      <c r="AV1125"/>
      <c r="AW1125"/>
      <c r="BK1125" s="66"/>
      <c r="BL1125"/>
      <c r="BM1125"/>
      <c r="BN1125"/>
      <c r="BO1125"/>
      <c r="BQ1125" s="66"/>
      <c r="BR1125"/>
      <c r="BS1125"/>
      <c r="BT1125"/>
      <c r="BU1125"/>
    </row>
    <row r="1126" spans="39:73" x14ac:dyDescent="0.25">
      <c r="AM1126" s="66"/>
      <c r="AN1126"/>
      <c r="AO1126"/>
      <c r="AP1126"/>
      <c r="AQ1126"/>
      <c r="AS1126" s="66"/>
      <c r="AT1126"/>
      <c r="AU1126"/>
      <c r="AV1126"/>
      <c r="AW1126"/>
      <c r="BK1126" s="66"/>
      <c r="BL1126"/>
      <c r="BM1126"/>
      <c r="BN1126"/>
      <c r="BO1126"/>
      <c r="BQ1126" s="66"/>
      <c r="BR1126"/>
      <c r="BS1126"/>
      <c r="BT1126"/>
      <c r="BU1126"/>
    </row>
    <row r="1127" spans="39:73" x14ac:dyDescent="0.25">
      <c r="AM1127" s="66"/>
      <c r="AN1127"/>
      <c r="AO1127"/>
      <c r="AP1127"/>
      <c r="AQ1127"/>
      <c r="AS1127" s="66"/>
      <c r="AT1127"/>
      <c r="AU1127"/>
      <c r="AV1127"/>
      <c r="AW1127"/>
      <c r="BK1127" s="66"/>
      <c r="BL1127"/>
      <c r="BM1127"/>
      <c r="BN1127"/>
      <c r="BO1127"/>
      <c r="BQ1127" s="66"/>
      <c r="BR1127"/>
      <c r="BS1127"/>
      <c r="BT1127"/>
      <c r="BU1127"/>
    </row>
    <row r="1128" spans="39:73" x14ac:dyDescent="0.25">
      <c r="AM1128" s="66"/>
      <c r="AN1128"/>
      <c r="AO1128"/>
      <c r="AP1128"/>
      <c r="AQ1128"/>
      <c r="AS1128" s="66"/>
      <c r="AT1128"/>
      <c r="AU1128"/>
      <c r="AV1128"/>
      <c r="AW1128"/>
      <c r="BK1128" s="66"/>
      <c r="BL1128"/>
      <c r="BM1128"/>
      <c r="BN1128"/>
      <c r="BO1128"/>
      <c r="BQ1128" s="66"/>
      <c r="BR1128"/>
      <c r="BS1128"/>
      <c r="BT1128"/>
      <c r="BU1128"/>
    </row>
    <row r="1129" spans="39:73" x14ac:dyDescent="0.25">
      <c r="AM1129" s="66"/>
      <c r="AN1129"/>
      <c r="AO1129"/>
      <c r="AP1129"/>
      <c r="AQ1129"/>
      <c r="AS1129" s="66"/>
      <c r="AT1129"/>
      <c r="AU1129"/>
      <c r="AV1129"/>
      <c r="AW1129"/>
      <c r="BK1129" s="66"/>
      <c r="BL1129"/>
      <c r="BM1129"/>
      <c r="BN1129"/>
      <c r="BO1129"/>
      <c r="BQ1129" s="66"/>
      <c r="BR1129"/>
      <c r="BS1129"/>
      <c r="BT1129"/>
      <c r="BU1129"/>
    </row>
    <row r="1130" spans="39:73" x14ac:dyDescent="0.25">
      <c r="AM1130" s="66"/>
      <c r="AN1130"/>
      <c r="AO1130"/>
      <c r="AP1130"/>
      <c r="AQ1130"/>
      <c r="AS1130" s="66"/>
      <c r="AT1130"/>
      <c r="AU1130"/>
      <c r="AV1130"/>
      <c r="AW1130"/>
      <c r="BK1130" s="66"/>
      <c r="BL1130"/>
      <c r="BM1130"/>
      <c r="BN1130"/>
      <c r="BO1130"/>
      <c r="BQ1130" s="66"/>
      <c r="BR1130"/>
      <c r="BS1130"/>
      <c r="BT1130"/>
      <c r="BU1130"/>
    </row>
    <row r="1131" spans="39:73" x14ac:dyDescent="0.25">
      <c r="AM1131" s="66"/>
      <c r="AN1131"/>
      <c r="AO1131"/>
      <c r="AP1131"/>
      <c r="AQ1131"/>
      <c r="AS1131" s="66"/>
      <c r="AT1131"/>
      <c r="AU1131"/>
      <c r="AV1131"/>
      <c r="AW1131"/>
      <c r="BK1131" s="66"/>
      <c r="BL1131"/>
      <c r="BM1131"/>
      <c r="BN1131"/>
      <c r="BO1131"/>
      <c r="BQ1131" s="66"/>
      <c r="BR1131"/>
      <c r="BS1131"/>
      <c r="BT1131"/>
      <c r="BU1131"/>
    </row>
    <row r="1132" spans="39:73" x14ac:dyDescent="0.25">
      <c r="AM1132" s="66"/>
      <c r="AN1132"/>
      <c r="AO1132"/>
      <c r="AP1132"/>
      <c r="AQ1132"/>
      <c r="AS1132" s="66"/>
      <c r="AT1132"/>
      <c r="AU1132"/>
      <c r="AV1132"/>
      <c r="AW1132"/>
      <c r="BK1132" s="66"/>
      <c r="BL1132"/>
      <c r="BM1132"/>
      <c r="BN1132"/>
      <c r="BO1132"/>
      <c r="BQ1132" s="66"/>
      <c r="BR1132"/>
      <c r="BS1132"/>
      <c r="BT1132"/>
      <c r="BU1132"/>
    </row>
    <row r="1133" spans="39:73" x14ac:dyDescent="0.25">
      <c r="AM1133" s="66"/>
      <c r="AN1133"/>
      <c r="AO1133"/>
      <c r="AP1133"/>
      <c r="AQ1133"/>
      <c r="AS1133" s="66"/>
      <c r="AT1133"/>
      <c r="AU1133"/>
      <c r="AV1133"/>
      <c r="AW1133"/>
      <c r="BK1133" s="66"/>
      <c r="BL1133"/>
      <c r="BM1133"/>
      <c r="BN1133"/>
      <c r="BO1133"/>
      <c r="BQ1133" s="66"/>
      <c r="BR1133"/>
      <c r="BS1133"/>
      <c r="BT1133"/>
      <c r="BU1133"/>
    </row>
    <row r="1134" spans="39:73" x14ac:dyDescent="0.25">
      <c r="AM1134" s="66"/>
      <c r="AN1134"/>
      <c r="AO1134"/>
      <c r="AP1134"/>
      <c r="AQ1134"/>
      <c r="AS1134" s="66"/>
      <c r="AT1134"/>
      <c r="AU1134"/>
      <c r="AV1134"/>
      <c r="AW1134"/>
      <c r="BK1134" s="66"/>
      <c r="BL1134"/>
      <c r="BM1134"/>
      <c r="BN1134"/>
      <c r="BO1134"/>
      <c r="BQ1134" s="66"/>
      <c r="BR1134"/>
      <c r="BS1134"/>
      <c r="BT1134"/>
      <c r="BU1134"/>
    </row>
    <row r="1135" spans="39:73" x14ac:dyDescent="0.25">
      <c r="AM1135" s="66"/>
      <c r="AN1135"/>
      <c r="AO1135"/>
      <c r="AP1135"/>
      <c r="AQ1135"/>
      <c r="AS1135" s="66"/>
      <c r="AT1135"/>
      <c r="AU1135"/>
      <c r="AV1135"/>
      <c r="AW1135"/>
      <c r="BK1135" s="66"/>
      <c r="BL1135"/>
      <c r="BM1135"/>
      <c r="BN1135"/>
      <c r="BO1135"/>
      <c r="BQ1135" s="66"/>
      <c r="BR1135"/>
      <c r="BS1135"/>
      <c r="BT1135"/>
      <c r="BU1135"/>
    </row>
    <row r="1136" spans="39:73" x14ac:dyDescent="0.25">
      <c r="AM1136" s="66"/>
      <c r="AN1136"/>
      <c r="AO1136"/>
      <c r="AP1136"/>
      <c r="AQ1136"/>
      <c r="AS1136" s="66"/>
      <c r="AT1136"/>
      <c r="AU1136"/>
      <c r="AV1136"/>
      <c r="AW1136"/>
      <c r="BK1136" s="66"/>
      <c r="BL1136"/>
      <c r="BM1136"/>
      <c r="BN1136"/>
      <c r="BO1136"/>
      <c r="BQ1136" s="66"/>
      <c r="BR1136"/>
      <c r="BS1136"/>
      <c r="BT1136"/>
      <c r="BU1136"/>
    </row>
    <row r="1137" spans="39:73" x14ac:dyDescent="0.25">
      <c r="AM1137" s="66"/>
      <c r="AN1137"/>
      <c r="AO1137"/>
      <c r="AP1137"/>
      <c r="AQ1137"/>
      <c r="AS1137" s="66"/>
      <c r="AT1137"/>
      <c r="AU1137"/>
      <c r="AV1137"/>
      <c r="AW1137"/>
      <c r="BK1137" s="66"/>
      <c r="BL1137"/>
      <c r="BM1137"/>
      <c r="BN1137"/>
      <c r="BO1137"/>
      <c r="BQ1137" s="66"/>
      <c r="BR1137"/>
      <c r="BS1137"/>
      <c r="BT1137"/>
      <c r="BU1137"/>
    </row>
    <row r="1138" spans="39:73" x14ac:dyDescent="0.25">
      <c r="AM1138" s="66"/>
      <c r="AN1138"/>
      <c r="AO1138"/>
      <c r="AP1138"/>
      <c r="AQ1138"/>
      <c r="AS1138" s="66"/>
      <c r="AT1138"/>
      <c r="AU1138"/>
      <c r="AV1138"/>
      <c r="AW1138"/>
      <c r="BK1138" s="66"/>
      <c r="BL1138"/>
      <c r="BM1138"/>
      <c r="BN1138"/>
      <c r="BO1138"/>
      <c r="BQ1138" s="66"/>
      <c r="BR1138"/>
      <c r="BS1138"/>
      <c r="BT1138"/>
      <c r="BU1138"/>
    </row>
    <row r="1139" spans="39:73" x14ac:dyDescent="0.25">
      <c r="AM1139" s="66"/>
      <c r="AN1139"/>
      <c r="AO1139"/>
      <c r="AP1139"/>
      <c r="AQ1139"/>
      <c r="AS1139" s="66"/>
      <c r="AT1139"/>
      <c r="AU1139"/>
      <c r="AV1139"/>
      <c r="AW1139"/>
      <c r="BK1139" s="66"/>
      <c r="BL1139"/>
      <c r="BM1139"/>
      <c r="BN1139"/>
      <c r="BO1139"/>
      <c r="BQ1139" s="66"/>
      <c r="BR1139"/>
      <c r="BS1139"/>
      <c r="BT1139"/>
      <c r="BU1139"/>
    </row>
    <row r="1140" spans="39:73" x14ac:dyDescent="0.25">
      <c r="AM1140" s="66"/>
      <c r="AN1140"/>
      <c r="AO1140"/>
      <c r="AP1140"/>
      <c r="AQ1140"/>
      <c r="AS1140" s="66"/>
      <c r="AT1140"/>
      <c r="AU1140"/>
      <c r="AV1140"/>
      <c r="AW1140"/>
      <c r="BK1140" s="66"/>
      <c r="BL1140"/>
      <c r="BM1140"/>
      <c r="BN1140"/>
      <c r="BO1140"/>
      <c r="BQ1140" s="66"/>
      <c r="BR1140"/>
      <c r="BS1140"/>
      <c r="BT1140"/>
      <c r="BU1140"/>
    </row>
    <row r="1141" spans="39:73" x14ac:dyDescent="0.25">
      <c r="AM1141" s="66"/>
      <c r="AN1141"/>
      <c r="AO1141"/>
      <c r="AP1141"/>
      <c r="AQ1141"/>
      <c r="AS1141" s="66"/>
      <c r="AT1141"/>
      <c r="AU1141"/>
      <c r="AV1141"/>
      <c r="AW1141"/>
      <c r="BK1141" s="66"/>
      <c r="BL1141"/>
      <c r="BM1141"/>
      <c r="BN1141"/>
      <c r="BO1141"/>
      <c r="BQ1141" s="66"/>
      <c r="BR1141"/>
      <c r="BS1141"/>
      <c r="BT1141"/>
      <c r="BU1141"/>
    </row>
    <row r="1142" spans="39:73" x14ac:dyDescent="0.25">
      <c r="AM1142" s="66"/>
      <c r="AN1142"/>
      <c r="AO1142"/>
      <c r="AP1142"/>
      <c r="AQ1142"/>
      <c r="AS1142" s="66"/>
      <c r="AT1142"/>
      <c r="AU1142"/>
      <c r="AV1142"/>
      <c r="AW1142"/>
      <c r="BK1142" s="66"/>
      <c r="BL1142"/>
      <c r="BM1142"/>
      <c r="BN1142"/>
      <c r="BO1142"/>
      <c r="BQ1142" s="66"/>
      <c r="BR1142"/>
      <c r="BS1142"/>
      <c r="BT1142"/>
      <c r="BU1142"/>
    </row>
    <row r="1143" spans="39:73" x14ac:dyDescent="0.25">
      <c r="AM1143" s="66"/>
      <c r="AN1143"/>
      <c r="AO1143"/>
      <c r="AP1143"/>
      <c r="AQ1143"/>
      <c r="AS1143" s="66"/>
      <c r="AT1143"/>
      <c r="AU1143"/>
      <c r="AV1143"/>
      <c r="AW1143"/>
      <c r="BK1143" s="66"/>
      <c r="BL1143"/>
      <c r="BM1143"/>
      <c r="BN1143"/>
      <c r="BO1143"/>
      <c r="BQ1143" s="66"/>
      <c r="BR1143"/>
      <c r="BS1143"/>
      <c r="BT1143"/>
      <c r="BU1143"/>
    </row>
    <row r="1144" spans="39:73" x14ac:dyDescent="0.25">
      <c r="AM1144" s="66"/>
      <c r="AN1144"/>
      <c r="AO1144"/>
      <c r="AP1144"/>
      <c r="AQ1144"/>
      <c r="AS1144" s="66"/>
      <c r="AT1144"/>
      <c r="AU1144"/>
      <c r="AV1144"/>
      <c r="AW1144"/>
      <c r="BK1144" s="66"/>
      <c r="BL1144"/>
      <c r="BM1144"/>
      <c r="BN1144"/>
      <c r="BO1144"/>
      <c r="BQ1144" s="66"/>
      <c r="BR1144"/>
      <c r="BS1144"/>
      <c r="BT1144"/>
      <c r="BU1144"/>
    </row>
    <row r="1145" spans="39:73" x14ac:dyDescent="0.25">
      <c r="AM1145" s="66"/>
      <c r="AN1145"/>
      <c r="AO1145"/>
      <c r="AP1145"/>
      <c r="AQ1145"/>
      <c r="AS1145" s="66"/>
      <c r="AT1145"/>
      <c r="AU1145"/>
      <c r="AV1145"/>
      <c r="AW1145"/>
      <c r="BK1145" s="66"/>
      <c r="BL1145"/>
      <c r="BM1145"/>
      <c r="BN1145"/>
      <c r="BO1145"/>
      <c r="BQ1145" s="66"/>
      <c r="BR1145"/>
      <c r="BS1145"/>
      <c r="BT1145"/>
      <c r="BU1145"/>
    </row>
    <row r="1146" spans="39:73" x14ac:dyDescent="0.25">
      <c r="AM1146" s="66"/>
      <c r="AN1146"/>
      <c r="AO1146"/>
      <c r="AP1146"/>
      <c r="AQ1146"/>
      <c r="AS1146" s="66"/>
      <c r="AT1146"/>
      <c r="AU1146"/>
      <c r="AV1146"/>
      <c r="AW1146"/>
      <c r="BK1146" s="66"/>
      <c r="BL1146"/>
      <c r="BM1146"/>
      <c r="BN1146"/>
      <c r="BO1146"/>
      <c r="BQ1146" s="66"/>
      <c r="BR1146"/>
      <c r="BS1146"/>
      <c r="BT1146"/>
      <c r="BU1146"/>
    </row>
    <row r="1147" spans="39:73" x14ac:dyDescent="0.25">
      <c r="AM1147" s="66"/>
      <c r="AN1147"/>
      <c r="AO1147"/>
      <c r="AP1147"/>
      <c r="AQ1147"/>
      <c r="AS1147" s="66"/>
      <c r="AT1147"/>
      <c r="AU1147"/>
      <c r="AV1147"/>
      <c r="AW1147"/>
      <c r="BK1147" s="66"/>
      <c r="BL1147"/>
      <c r="BM1147"/>
      <c r="BN1147"/>
      <c r="BO1147"/>
      <c r="BQ1147" s="66"/>
      <c r="BR1147"/>
      <c r="BS1147"/>
      <c r="BT1147"/>
      <c r="BU1147"/>
    </row>
    <row r="1148" spans="39:73" x14ac:dyDescent="0.25">
      <c r="AM1148" s="66"/>
      <c r="AN1148"/>
      <c r="AO1148"/>
      <c r="AP1148"/>
      <c r="AQ1148"/>
      <c r="AS1148" s="66"/>
      <c r="AT1148"/>
      <c r="AU1148"/>
      <c r="AV1148"/>
      <c r="AW1148"/>
      <c r="BK1148" s="66"/>
      <c r="BL1148"/>
      <c r="BM1148"/>
      <c r="BN1148"/>
      <c r="BO1148"/>
      <c r="BQ1148" s="66"/>
      <c r="BR1148"/>
      <c r="BS1148"/>
      <c r="BT1148"/>
      <c r="BU1148"/>
    </row>
    <row r="1149" spans="39:73" x14ac:dyDescent="0.25">
      <c r="AM1149" s="66"/>
      <c r="AN1149"/>
      <c r="AO1149"/>
      <c r="AP1149"/>
      <c r="AQ1149"/>
      <c r="AS1149" s="66"/>
      <c r="AT1149"/>
      <c r="AU1149"/>
      <c r="AV1149"/>
      <c r="AW1149"/>
      <c r="BK1149" s="66"/>
      <c r="BL1149"/>
      <c r="BM1149"/>
      <c r="BN1149"/>
      <c r="BO1149"/>
      <c r="BQ1149" s="66"/>
      <c r="BR1149"/>
      <c r="BS1149"/>
      <c r="BT1149"/>
      <c r="BU1149"/>
    </row>
    <row r="1150" spans="39:73" x14ac:dyDescent="0.25">
      <c r="AM1150" s="66"/>
      <c r="AN1150"/>
      <c r="AO1150"/>
      <c r="AP1150"/>
      <c r="AQ1150"/>
      <c r="AS1150" s="66"/>
      <c r="AT1150"/>
      <c r="AU1150"/>
      <c r="AV1150"/>
      <c r="AW1150"/>
      <c r="BK1150" s="66"/>
      <c r="BL1150"/>
      <c r="BM1150"/>
      <c r="BN1150"/>
      <c r="BO1150"/>
      <c r="BQ1150" s="66"/>
      <c r="BR1150"/>
      <c r="BS1150"/>
      <c r="BT1150"/>
      <c r="BU1150"/>
    </row>
    <row r="1151" spans="39:73" x14ac:dyDescent="0.25">
      <c r="AM1151" s="66"/>
      <c r="AN1151"/>
      <c r="AO1151"/>
      <c r="AP1151"/>
      <c r="AQ1151"/>
      <c r="AS1151" s="66"/>
      <c r="AT1151"/>
      <c r="AU1151"/>
      <c r="AV1151"/>
      <c r="AW1151"/>
      <c r="BK1151" s="66"/>
      <c r="BL1151"/>
      <c r="BM1151"/>
      <c r="BN1151"/>
      <c r="BO1151"/>
      <c r="BQ1151" s="66"/>
      <c r="BR1151"/>
      <c r="BS1151"/>
      <c r="BT1151"/>
      <c r="BU1151"/>
    </row>
    <row r="1152" spans="39:73" x14ac:dyDescent="0.25">
      <c r="AM1152" s="66"/>
      <c r="AN1152"/>
      <c r="AO1152"/>
      <c r="AP1152"/>
      <c r="AQ1152"/>
      <c r="AS1152" s="66"/>
      <c r="AT1152"/>
      <c r="AU1152"/>
      <c r="AV1152"/>
      <c r="AW1152"/>
      <c r="BK1152" s="66"/>
      <c r="BL1152"/>
      <c r="BM1152"/>
      <c r="BN1152"/>
      <c r="BO1152"/>
      <c r="BQ1152" s="66"/>
      <c r="BR1152"/>
      <c r="BS1152"/>
      <c r="BT1152"/>
      <c r="BU1152"/>
    </row>
    <row r="1153" spans="39:73" x14ac:dyDescent="0.25">
      <c r="AM1153" s="66"/>
      <c r="AN1153"/>
      <c r="AO1153"/>
      <c r="AP1153"/>
      <c r="AQ1153"/>
      <c r="AS1153" s="66"/>
      <c r="AT1153"/>
      <c r="AU1153"/>
      <c r="AV1153"/>
      <c r="AW1153"/>
      <c r="BK1153" s="66"/>
      <c r="BL1153"/>
      <c r="BM1153"/>
      <c r="BN1153"/>
      <c r="BO1153"/>
      <c r="BQ1153" s="66"/>
      <c r="BR1153"/>
      <c r="BS1153"/>
      <c r="BT1153"/>
      <c r="BU1153"/>
    </row>
    <row r="1154" spans="39:73" x14ac:dyDescent="0.25">
      <c r="AM1154" s="66"/>
      <c r="AN1154"/>
      <c r="AO1154"/>
      <c r="AP1154"/>
      <c r="AQ1154"/>
      <c r="AS1154" s="66"/>
      <c r="AT1154"/>
      <c r="AU1154"/>
      <c r="AV1154"/>
      <c r="AW1154"/>
      <c r="BK1154" s="66"/>
      <c r="BL1154"/>
      <c r="BM1154"/>
      <c r="BN1154"/>
      <c r="BO1154"/>
      <c r="BQ1154" s="66"/>
      <c r="BR1154"/>
      <c r="BS1154"/>
      <c r="BT1154"/>
      <c r="BU1154"/>
    </row>
    <row r="1155" spans="39:73" x14ac:dyDescent="0.25">
      <c r="AM1155" s="66"/>
      <c r="AN1155"/>
      <c r="AO1155"/>
      <c r="AP1155"/>
      <c r="AQ1155"/>
      <c r="AS1155" s="66"/>
      <c r="AT1155"/>
      <c r="AU1155"/>
      <c r="AV1155"/>
      <c r="AW1155"/>
      <c r="BK1155" s="66"/>
      <c r="BL1155"/>
      <c r="BM1155"/>
      <c r="BN1155"/>
      <c r="BO1155"/>
      <c r="BQ1155" s="66"/>
      <c r="BR1155"/>
      <c r="BS1155"/>
      <c r="BT1155"/>
      <c r="BU1155"/>
    </row>
    <row r="1156" spans="39:73" x14ac:dyDescent="0.25">
      <c r="AM1156" s="66"/>
      <c r="AN1156"/>
      <c r="AO1156"/>
      <c r="AP1156"/>
      <c r="AQ1156"/>
      <c r="AS1156" s="66"/>
      <c r="AT1156"/>
      <c r="AU1156"/>
      <c r="AV1156"/>
      <c r="AW1156"/>
      <c r="BK1156" s="66"/>
      <c r="BL1156"/>
      <c r="BM1156"/>
      <c r="BN1156"/>
      <c r="BO1156"/>
      <c r="BQ1156" s="66"/>
      <c r="BR1156"/>
      <c r="BS1156"/>
      <c r="BT1156"/>
      <c r="BU1156"/>
    </row>
    <row r="1157" spans="39:73" x14ac:dyDescent="0.25">
      <c r="AM1157" s="66"/>
      <c r="AN1157"/>
      <c r="AO1157"/>
      <c r="AP1157"/>
      <c r="AQ1157"/>
      <c r="AS1157" s="66"/>
      <c r="AT1157"/>
      <c r="AU1157"/>
      <c r="AV1157"/>
      <c r="AW1157"/>
      <c r="BK1157" s="66"/>
      <c r="BL1157"/>
      <c r="BM1157"/>
      <c r="BN1157"/>
      <c r="BO1157"/>
      <c r="BQ1157" s="66"/>
      <c r="BR1157"/>
      <c r="BS1157"/>
      <c r="BT1157"/>
      <c r="BU1157"/>
    </row>
    <row r="1158" spans="39:73" x14ac:dyDescent="0.25">
      <c r="AM1158" s="66"/>
      <c r="AN1158"/>
      <c r="AO1158"/>
      <c r="AP1158"/>
      <c r="AQ1158"/>
      <c r="AS1158" s="66"/>
      <c r="AT1158"/>
      <c r="AU1158"/>
      <c r="AV1158"/>
      <c r="AW1158"/>
      <c r="BK1158" s="66"/>
      <c r="BL1158"/>
      <c r="BM1158"/>
      <c r="BN1158"/>
      <c r="BO1158"/>
      <c r="BQ1158" s="66"/>
      <c r="BR1158"/>
      <c r="BS1158"/>
      <c r="BT1158"/>
      <c r="BU1158"/>
    </row>
    <row r="1159" spans="39:73" x14ac:dyDescent="0.25">
      <c r="AM1159" s="66"/>
      <c r="AN1159"/>
      <c r="AO1159"/>
      <c r="AP1159"/>
      <c r="AQ1159"/>
      <c r="AS1159" s="66"/>
      <c r="AT1159"/>
      <c r="AU1159"/>
      <c r="AV1159"/>
      <c r="AW1159"/>
      <c r="BK1159" s="66"/>
      <c r="BL1159"/>
      <c r="BM1159"/>
      <c r="BN1159"/>
      <c r="BO1159"/>
      <c r="BQ1159" s="66"/>
      <c r="BR1159"/>
      <c r="BS1159"/>
      <c r="BT1159"/>
      <c r="BU1159"/>
    </row>
    <row r="1160" spans="39:73" x14ac:dyDescent="0.25">
      <c r="AM1160" s="66"/>
      <c r="AN1160"/>
      <c r="AO1160"/>
      <c r="AP1160"/>
      <c r="AQ1160"/>
      <c r="AS1160" s="66"/>
      <c r="AT1160"/>
      <c r="AU1160"/>
      <c r="AV1160"/>
      <c r="AW1160"/>
      <c r="BK1160" s="66"/>
      <c r="BL1160"/>
      <c r="BM1160"/>
      <c r="BN1160"/>
      <c r="BO1160"/>
      <c r="BQ1160" s="66"/>
      <c r="BR1160"/>
      <c r="BS1160"/>
      <c r="BT1160"/>
      <c r="BU1160"/>
    </row>
    <row r="1161" spans="39:73" x14ac:dyDescent="0.25">
      <c r="AM1161" s="66"/>
      <c r="AN1161"/>
      <c r="AO1161"/>
      <c r="AP1161"/>
      <c r="AQ1161"/>
      <c r="AS1161" s="66"/>
      <c r="AT1161"/>
      <c r="AU1161"/>
      <c r="AV1161"/>
      <c r="AW1161"/>
      <c r="BK1161" s="66"/>
      <c r="BL1161"/>
      <c r="BM1161"/>
      <c r="BN1161"/>
      <c r="BO1161"/>
      <c r="BQ1161" s="66"/>
      <c r="BR1161"/>
      <c r="BS1161"/>
      <c r="BT1161"/>
      <c r="BU1161"/>
    </row>
    <row r="1162" spans="39:73" x14ac:dyDescent="0.25">
      <c r="AM1162" s="66"/>
      <c r="AN1162"/>
      <c r="AO1162"/>
      <c r="AP1162"/>
      <c r="AQ1162"/>
      <c r="AS1162" s="66"/>
      <c r="AT1162"/>
      <c r="AU1162"/>
      <c r="AV1162"/>
      <c r="AW1162"/>
      <c r="BK1162" s="66"/>
      <c r="BL1162"/>
      <c r="BM1162"/>
      <c r="BN1162"/>
      <c r="BO1162"/>
      <c r="BQ1162" s="66"/>
      <c r="BR1162"/>
      <c r="BS1162"/>
      <c r="BT1162"/>
      <c r="BU1162"/>
    </row>
    <row r="1163" spans="39:73" x14ac:dyDescent="0.25">
      <c r="AM1163" s="66"/>
      <c r="AN1163"/>
      <c r="AO1163"/>
      <c r="AP1163"/>
      <c r="AQ1163"/>
      <c r="AS1163" s="66"/>
      <c r="AT1163"/>
      <c r="AU1163"/>
      <c r="AV1163"/>
      <c r="AW1163"/>
      <c r="BK1163" s="66"/>
      <c r="BL1163"/>
      <c r="BM1163"/>
      <c r="BN1163"/>
      <c r="BO1163"/>
      <c r="BQ1163" s="66"/>
      <c r="BR1163"/>
      <c r="BS1163"/>
      <c r="BT1163"/>
      <c r="BU1163"/>
    </row>
    <row r="1164" spans="39:73" x14ac:dyDescent="0.25">
      <c r="AM1164" s="66"/>
      <c r="AN1164"/>
      <c r="AO1164"/>
      <c r="AP1164"/>
      <c r="AQ1164"/>
      <c r="AS1164" s="66"/>
      <c r="AT1164"/>
      <c r="AU1164"/>
      <c r="AV1164"/>
      <c r="AW1164"/>
      <c r="BK1164" s="66"/>
      <c r="BL1164"/>
      <c r="BM1164"/>
      <c r="BN1164"/>
      <c r="BO1164"/>
      <c r="BQ1164" s="66"/>
      <c r="BR1164"/>
      <c r="BS1164"/>
      <c r="BT1164"/>
      <c r="BU1164"/>
    </row>
    <row r="1165" spans="39:73" x14ac:dyDescent="0.25">
      <c r="AM1165" s="66"/>
      <c r="AN1165"/>
      <c r="AO1165"/>
      <c r="AP1165"/>
      <c r="AQ1165"/>
      <c r="AS1165" s="66"/>
      <c r="AT1165"/>
      <c r="AU1165"/>
      <c r="AV1165"/>
      <c r="AW1165"/>
      <c r="BK1165" s="66"/>
      <c r="BL1165"/>
      <c r="BM1165"/>
      <c r="BN1165"/>
      <c r="BO1165"/>
      <c r="BQ1165" s="66"/>
      <c r="BR1165"/>
      <c r="BS1165"/>
      <c r="BT1165"/>
      <c r="BU1165"/>
    </row>
    <row r="1166" spans="39:73" x14ac:dyDescent="0.25">
      <c r="AM1166" s="66"/>
      <c r="AN1166"/>
      <c r="AO1166"/>
      <c r="AP1166"/>
      <c r="AQ1166"/>
      <c r="AS1166" s="66"/>
      <c r="AT1166"/>
      <c r="AU1166"/>
      <c r="AV1166"/>
      <c r="AW1166"/>
      <c r="BK1166" s="66"/>
      <c r="BL1166"/>
      <c r="BM1166"/>
      <c r="BN1166"/>
      <c r="BO1166"/>
      <c r="BQ1166" s="66"/>
      <c r="BR1166"/>
      <c r="BS1166"/>
      <c r="BT1166"/>
      <c r="BU1166"/>
    </row>
    <row r="1167" spans="39:73" x14ac:dyDescent="0.25">
      <c r="AM1167" s="66"/>
      <c r="AN1167"/>
      <c r="AO1167"/>
      <c r="AP1167"/>
      <c r="AQ1167"/>
      <c r="AS1167" s="66"/>
      <c r="AT1167"/>
      <c r="AU1167"/>
      <c r="AV1167"/>
      <c r="AW1167"/>
      <c r="BK1167" s="66"/>
      <c r="BL1167"/>
      <c r="BM1167"/>
      <c r="BN1167"/>
      <c r="BO1167"/>
      <c r="BQ1167" s="66"/>
      <c r="BR1167"/>
      <c r="BS1167"/>
      <c r="BT1167"/>
      <c r="BU1167"/>
    </row>
    <row r="1168" spans="39:73" x14ac:dyDescent="0.25">
      <c r="AM1168" s="66"/>
      <c r="AN1168"/>
      <c r="AO1168"/>
      <c r="AP1168"/>
      <c r="AQ1168"/>
      <c r="AS1168" s="66"/>
      <c r="AT1168"/>
      <c r="AU1168"/>
      <c r="AV1168"/>
      <c r="AW1168"/>
      <c r="BK1168" s="66"/>
      <c r="BL1168"/>
      <c r="BM1168"/>
      <c r="BN1168"/>
      <c r="BO1168"/>
      <c r="BQ1168" s="66"/>
      <c r="BR1168"/>
      <c r="BS1168"/>
      <c r="BT1168"/>
      <c r="BU1168"/>
    </row>
    <row r="1169" spans="39:73" x14ac:dyDescent="0.25">
      <c r="AM1169" s="66"/>
      <c r="AN1169"/>
      <c r="AO1169"/>
      <c r="AP1169"/>
      <c r="AQ1169"/>
      <c r="AS1169" s="66"/>
      <c r="AT1169"/>
      <c r="AU1169"/>
      <c r="AV1169"/>
      <c r="AW1169"/>
      <c r="BK1169" s="66"/>
      <c r="BL1169"/>
      <c r="BM1169"/>
      <c r="BN1169"/>
      <c r="BO1169"/>
      <c r="BQ1169" s="66"/>
      <c r="BR1169"/>
      <c r="BS1169"/>
      <c r="BT1169"/>
      <c r="BU1169"/>
    </row>
    <row r="1170" spans="39:73" x14ac:dyDescent="0.25">
      <c r="AM1170" s="66"/>
      <c r="AN1170"/>
      <c r="AO1170"/>
      <c r="AP1170"/>
      <c r="AQ1170"/>
      <c r="AS1170" s="66"/>
      <c r="AT1170"/>
      <c r="AU1170"/>
      <c r="AV1170"/>
      <c r="AW1170"/>
      <c r="BK1170" s="66"/>
      <c r="BL1170"/>
      <c r="BM1170"/>
      <c r="BN1170"/>
      <c r="BO1170"/>
      <c r="BQ1170" s="66"/>
      <c r="BR1170"/>
      <c r="BS1170"/>
      <c r="BT1170"/>
      <c r="BU1170"/>
    </row>
    <row r="1171" spans="39:73" x14ac:dyDescent="0.25">
      <c r="AM1171" s="66"/>
      <c r="AN1171"/>
      <c r="AO1171"/>
      <c r="AP1171"/>
      <c r="AQ1171"/>
      <c r="AS1171" s="66"/>
      <c r="AT1171"/>
      <c r="AU1171"/>
      <c r="AV1171"/>
      <c r="AW1171"/>
      <c r="BK1171" s="66"/>
      <c r="BL1171"/>
      <c r="BM1171"/>
      <c r="BN1171"/>
      <c r="BO1171"/>
      <c r="BQ1171" s="66"/>
      <c r="BR1171"/>
      <c r="BS1171"/>
      <c r="BT1171"/>
      <c r="BU1171"/>
    </row>
    <row r="1172" spans="39:73" x14ac:dyDescent="0.25">
      <c r="AM1172" s="66"/>
      <c r="AN1172"/>
      <c r="AO1172"/>
      <c r="AP1172"/>
      <c r="AQ1172"/>
      <c r="AS1172" s="66"/>
      <c r="AT1172"/>
      <c r="AU1172"/>
      <c r="AV1172"/>
      <c r="AW1172"/>
      <c r="BK1172" s="66"/>
      <c r="BL1172"/>
      <c r="BM1172"/>
      <c r="BN1172"/>
      <c r="BO1172"/>
      <c r="BQ1172" s="66"/>
      <c r="BR1172"/>
      <c r="BS1172"/>
      <c r="BT1172"/>
      <c r="BU1172"/>
    </row>
    <row r="1173" spans="39:73" x14ac:dyDescent="0.25">
      <c r="AM1173" s="66"/>
      <c r="AN1173"/>
      <c r="AO1173"/>
      <c r="AP1173"/>
      <c r="AQ1173"/>
      <c r="AS1173" s="66"/>
      <c r="AT1173"/>
      <c r="AU1173"/>
      <c r="AV1173"/>
      <c r="AW1173"/>
      <c r="BK1173" s="66"/>
      <c r="BL1173"/>
      <c r="BM1173"/>
      <c r="BN1173"/>
      <c r="BO1173"/>
      <c r="BQ1173" s="66"/>
      <c r="BR1173"/>
      <c r="BS1173"/>
      <c r="BT1173"/>
      <c r="BU1173"/>
    </row>
    <row r="1174" spans="39:73" x14ac:dyDescent="0.25">
      <c r="AM1174" s="66"/>
      <c r="AN1174"/>
      <c r="AO1174"/>
      <c r="AP1174"/>
      <c r="AQ1174"/>
      <c r="AS1174" s="66"/>
      <c r="AT1174"/>
      <c r="AU1174"/>
      <c r="AV1174"/>
      <c r="AW1174"/>
      <c r="BK1174" s="66"/>
      <c r="BL1174"/>
      <c r="BM1174"/>
      <c r="BN1174"/>
      <c r="BO1174"/>
      <c r="BQ1174" s="66"/>
      <c r="BR1174"/>
      <c r="BS1174"/>
      <c r="BT1174"/>
      <c r="BU1174"/>
    </row>
    <row r="1175" spans="39:73" x14ac:dyDescent="0.25">
      <c r="AM1175" s="66"/>
      <c r="AN1175"/>
      <c r="AO1175"/>
      <c r="AP1175"/>
      <c r="AQ1175"/>
      <c r="AS1175" s="66"/>
      <c r="AT1175"/>
      <c r="AU1175"/>
      <c r="AV1175"/>
      <c r="AW1175"/>
      <c r="BK1175" s="66"/>
      <c r="BL1175"/>
      <c r="BM1175"/>
      <c r="BN1175"/>
      <c r="BO1175"/>
      <c r="BQ1175" s="66"/>
      <c r="BR1175"/>
      <c r="BS1175"/>
      <c r="BT1175"/>
      <c r="BU1175"/>
    </row>
    <row r="1176" spans="39:73" x14ac:dyDescent="0.25">
      <c r="AM1176" s="66"/>
      <c r="AN1176"/>
      <c r="AO1176"/>
      <c r="AP1176"/>
      <c r="AQ1176"/>
      <c r="AS1176" s="66"/>
      <c r="AT1176"/>
      <c r="AU1176"/>
      <c r="AV1176"/>
      <c r="AW1176"/>
      <c r="BK1176" s="66"/>
      <c r="BL1176"/>
      <c r="BM1176"/>
      <c r="BN1176"/>
      <c r="BO1176"/>
      <c r="BQ1176" s="66"/>
      <c r="BR1176"/>
      <c r="BS1176"/>
      <c r="BT1176"/>
      <c r="BU1176"/>
    </row>
    <row r="1177" spans="39:73" x14ac:dyDescent="0.25">
      <c r="AM1177" s="66"/>
      <c r="AN1177"/>
      <c r="AO1177"/>
      <c r="AP1177"/>
      <c r="AQ1177"/>
      <c r="AS1177" s="66"/>
      <c r="AT1177"/>
      <c r="AU1177"/>
      <c r="AV1177"/>
      <c r="AW1177"/>
      <c r="BK1177" s="66"/>
      <c r="BL1177"/>
      <c r="BM1177"/>
      <c r="BN1177"/>
      <c r="BO1177"/>
      <c r="BQ1177" s="66"/>
      <c r="BR1177"/>
      <c r="BS1177"/>
      <c r="BT1177"/>
      <c r="BU1177"/>
    </row>
    <row r="1178" spans="39:73" x14ac:dyDescent="0.25">
      <c r="AM1178" s="66"/>
      <c r="AN1178"/>
      <c r="AO1178"/>
      <c r="AP1178"/>
      <c r="AQ1178"/>
      <c r="AS1178" s="66"/>
      <c r="AT1178"/>
      <c r="AU1178"/>
      <c r="AV1178"/>
      <c r="AW1178"/>
      <c r="BK1178" s="66"/>
      <c r="BL1178"/>
      <c r="BM1178"/>
      <c r="BN1178"/>
      <c r="BO1178"/>
      <c r="BQ1178" s="66"/>
      <c r="BR1178"/>
      <c r="BS1178"/>
      <c r="BT1178"/>
      <c r="BU1178"/>
    </row>
    <row r="1179" spans="39:73" x14ac:dyDescent="0.25">
      <c r="AM1179" s="66"/>
      <c r="AN1179"/>
      <c r="AO1179"/>
      <c r="AP1179"/>
      <c r="AQ1179"/>
      <c r="AS1179" s="66"/>
      <c r="AT1179"/>
      <c r="AU1179"/>
      <c r="AV1179"/>
      <c r="AW1179"/>
      <c r="BK1179" s="66"/>
      <c r="BL1179"/>
      <c r="BM1179"/>
      <c r="BN1179"/>
      <c r="BO1179"/>
      <c r="BQ1179" s="66"/>
      <c r="BR1179"/>
      <c r="BS1179"/>
      <c r="BT1179"/>
      <c r="BU1179"/>
    </row>
    <row r="1180" spans="39:73" x14ac:dyDescent="0.25">
      <c r="AM1180" s="66"/>
      <c r="AN1180"/>
      <c r="AO1180"/>
      <c r="AP1180"/>
      <c r="AQ1180"/>
      <c r="AS1180" s="66"/>
      <c r="AT1180"/>
      <c r="AU1180"/>
      <c r="AV1180"/>
      <c r="AW1180"/>
      <c r="BK1180" s="66"/>
      <c r="BL1180"/>
      <c r="BM1180"/>
      <c r="BN1180"/>
      <c r="BO1180"/>
      <c r="BQ1180" s="66"/>
      <c r="BR1180"/>
      <c r="BS1180"/>
      <c r="BT1180"/>
      <c r="BU1180"/>
    </row>
    <row r="1181" spans="39:73" x14ac:dyDescent="0.25">
      <c r="AM1181" s="66"/>
      <c r="AN1181"/>
      <c r="AO1181"/>
      <c r="AP1181"/>
      <c r="AQ1181"/>
      <c r="AS1181" s="66"/>
      <c r="AT1181"/>
      <c r="AU1181"/>
      <c r="AV1181"/>
      <c r="AW1181"/>
      <c r="BK1181" s="66"/>
      <c r="BL1181"/>
      <c r="BM1181"/>
      <c r="BN1181"/>
      <c r="BO1181"/>
      <c r="BQ1181" s="66"/>
      <c r="BR1181"/>
      <c r="BS1181"/>
      <c r="BT1181"/>
      <c r="BU1181"/>
    </row>
    <row r="1182" spans="39:73" x14ac:dyDescent="0.25">
      <c r="AM1182" s="66"/>
      <c r="AN1182"/>
      <c r="AO1182"/>
      <c r="AP1182"/>
      <c r="AQ1182"/>
      <c r="AS1182" s="66"/>
      <c r="AT1182"/>
      <c r="AU1182"/>
      <c r="AV1182"/>
      <c r="AW1182"/>
      <c r="BK1182" s="66"/>
      <c r="BL1182"/>
      <c r="BM1182"/>
      <c r="BN1182"/>
      <c r="BO1182"/>
      <c r="BQ1182" s="66"/>
      <c r="BR1182"/>
      <c r="BS1182"/>
      <c r="BT1182"/>
      <c r="BU1182"/>
    </row>
    <row r="1183" spans="39:73" x14ac:dyDescent="0.25">
      <c r="AM1183" s="66"/>
      <c r="AN1183"/>
      <c r="AO1183"/>
      <c r="AP1183"/>
      <c r="AQ1183"/>
      <c r="AS1183" s="66"/>
      <c r="AT1183"/>
      <c r="AU1183"/>
      <c r="AV1183"/>
      <c r="AW1183"/>
      <c r="BK1183" s="66"/>
      <c r="BL1183"/>
      <c r="BM1183"/>
      <c r="BN1183"/>
      <c r="BO1183"/>
      <c r="BQ1183" s="66"/>
      <c r="BR1183"/>
      <c r="BS1183"/>
      <c r="BT1183"/>
      <c r="BU1183"/>
    </row>
    <row r="1184" spans="39:73" x14ac:dyDescent="0.25">
      <c r="AM1184" s="66"/>
      <c r="AN1184"/>
      <c r="AO1184"/>
      <c r="AP1184"/>
      <c r="AQ1184"/>
      <c r="AS1184" s="66"/>
      <c r="AT1184"/>
      <c r="AU1184"/>
      <c r="AV1184"/>
      <c r="AW1184"/>
      <c r="BK1184" s="66"/>
      <c r="BL1184"/>
      <c r="BM1184"/>
      <c r="BN1184"/>
      <c r="BO1184"/>
      <c r="BQ1184" s="66"/>
      <c r="BR1184"/>
      <c r="BS1184"/>
      <c r="BT1184"/>
      <c r="BU1184"/>
    </row>
    <row r="1185" spans="39:73" x14ac:dyDescent="0.25">
      <c r="AM1185" s="66"/>
      <c r="AN1185"/>
      <c r="AO1185"/>
      <c r="AP1185"/>
      <c r="AQ1185"/>
      <c r="AS1185" s="66"/>
      <c r="AT1185"/>
      <c r="AU1185"/>
      <c r="AV1185"/>
      <c r="AW1185"/>
      <c r="BK1185" s="66"/>
      <c r="BL1185"/>
      <c r="BM1185"/>
      <c r="BN1185"/>
      <c r="BO1185"/>
      <c r="BQ1185" s="66"/>
      <c r="BR1185"/>
      <c r="BS1185"/>
      <c r="BT1185"/>
      <c r="BU1185"/>
    </row>
    <row r="1186" spans="39:73" x14ac:dyDescent="0.25">
      <c r="AM1186" s="66"/>
      <c r="AN1186"/>
      <c r="AO1186"/>
      <c r="AP1186"/>
      <c r="AQ1186"/>
      <c r="AS1186" s="66"/>
      <c r="AT1186"/>
      <c r="AU1186"/>
      <c r="AV1186"/>
      <c r="AW1186"/>
      <c r="BK1186" s="66"/>
      <c r="BL1186"/>
      <c r="BM1186"/>
      <c r="BN1186"/>
      <c r="BO1186"/>
      <c r="BQ1186" s="66"/>
      <c r="BR1186"/>
      <c r="BS1186"/>
      <c r="BT1186"/>
      <c r="BU1186"/>
    </row>
    <row r="1187" spans="39:73" x14ac:dyDescent="0.25">
      <c r="AM1187" s="66"/>
      <c r="AN1187"/>
      <c r="AO1187"/>
      <c r="AP1187"/>
      <c r="AQ1187"/>
      <c r="AS1187" s="66"/>
      <c r="AT1187"/>
      <c r="AU1187"/>
      <c r="AV1187"/>
      <c r="AW1187"/>
      <c r="BK1187" s="66"/>
      <c r="BL1187"/>
      <c r="BM1187"/>
      <c r="BN1187"/>
      <c r="BO1187"/>
      <c r="BQ1187" s="66"/>
      <c r="BR1187"/>
      <c r="BS1187"/>
      <c r="BT1187"/>
      <c r="BU1187"/>
    </row>
    <row r="1188" spans="39:73" x14ac:dyDescent="0.25">
      <c r="AM1188" s="66"/>
      <c r="AN1188"/>
      <c r="AO1188"/>
      <c r="AP1188"/>
      <c r="AQ1188"/>
      <c r="AS1188" s="66"/>
      <c r="AT1188"/>
      <c r="AU1188"/>
      <c r="AV1188"/>
      <c r="AW1188"/>
      <c r="BK1188" s="66"/>
      <c r="BL1188"/>
      <c r="BM1188"/>
      <c r="BN1188"/>
      <c r="BO1188"/>
      <c r="BQ1188" s="66"/>
      <c r="BR1188"/>
      <c r="BS1188"/>
      <c r="BT1188"/>
      <c r="BU1188"/>
    </row>
    <row r="1189" spans="39:73" x14ac:dyDescent="0.25">
      <c r="AM1189" s="66"/>
      <c r="AN1189"/>
      <c r="AO1189"/>
      <c r="AP1189"/>
      <c r="AQ1189"/>
      <c r="AS1189" s="66"/>
      <c r="AT1189"/>
      <c r="AU1189"/>
      <c r="AV1189"/>
      <c r="AW1189"/>
      <c r="BK1189" s="66"/>
      <c r="BL1189"/>
      <c r="BM1189"/>
      <c r="BN1189"/>
      <c r="BO1189"/>
      <c r="BQ1189" s="66"/>
      <c r="BR1189"/>
      <c r="BS1189"/>
      <c r="BT1189"/>
      <c r="BU1189"/>
    </row>
    <row r="1190" spans="39:73" x14ac:dyDescent="0.25">
      <c r="AM1190" s="66"/>
      <c r="AN1190"/>
      <c r="AO1190"/>
      <c r="AP1190"/>
      <c r="AQ1190"/>
      <c r="AS1190" s="66"/>
      <c r="AT1190"/>
      <c r="AU1190"/>
      <c r="AV1190"/>
      <c r="AW1190"/>
      <c r="BK1190" s="66"/>
      <c r="BL1190"/>
      <c r="BM1190"/>
      <c r="BN1190"/>
      <c r="BO1190"/>
      <c r="BQ1190" s="66"/>
      <c r="BR1190"/>
      <c r="BS1190"/>
      <c r="BT1190"/>
      <c r="BU1190"/>
    </row>
    <row r="1191" spans="39:73" x14ac:dyDescent="0.25">
      <c r="AM1191" s="66"/>
      <c r="AN1191"/>
      <c r="AO1191"/>
      <c r="AP1191"/>
      <c r="AQ1191"/>
      <c r="AS1191" s="66"/>
      <c r="AT1191"/>
      <c r="AU1191"/>
      <c r="AV1191"/>
      <c r="AW1191"/>
      <c r="BK1191" s="66"/>
      <c r="BL1191"/>
      <c r="BM1191"/>
      <c r="BN1191"/>
      <c r="BO1191"/>
      <c r="BQ1191" s="66"/>
      <c r="BR1191"/>
      <c r="BS1191"/>
      <c r="BT1191"/>
      <c r="BU1191"/>
    </row>
    <row r="1192" spans="39:73" x14ac:dyDescent="0.25">
      <c r="AM1192" s="66"/>
      <c r="AN1192"/>
      <c r="AO1192"/>
      <c r="AP1192"/>
      <c r="AQ1192"/>
      <c r="AS1192" s="66"/>
      <c r="AT1192"/>
      <c r="AU1192"/>
      <c r="AV1192"/>
      <c r="AW1192"/>
      <c r="BK1192" s="66"/>
      <c r="BL1192"/>
      <c r="BM1192"/>
      <c r="BN1192"/>
      <c r="BO1192"/>
      <c r="BQ1192" s="66"/>
      <c r="BR1192"/>
      <c r="BS1192"/>
      <c r="BT1192"/>
      <c r="BU1192"/>
    </row>
    <row r="1193" spans="39:73" x14ac:dyDescent="0.25">
      <c r="AM1193" s="66"/>
      <c r="AN1193"/>
      <c r="AO1193"/>
      <c r="AP1193"/>
      <c r="AQ1193"/>
      <c r="AS1193" s="66"/>
      <c r="AT1193"/>
      <c r="AU1193"/>
      <c r="AV1193"/>
      <c r="AW1193"/>
      <c r="BK1193" s="66"/>
      <c r="BL1193"/>
      <c r="BM1193"/>
      <c r="BN1193"/>
      <c r="BO1193"/>
      <c r="BQ1193" s="66"/>
      <c r="BR1193"/>
      <c r="BS1193"/>
      <c r="BT1193"/>
      <c r="BU1193"/>
    </row>
    <row r="1194" spans="39:73" x14ac:dyDescent="0.25">
      <c r="AM1194" s="66"/>
      <c r="AN1194"/>
      <c r="AO1194"/>
      <c r="AP1194"/>
      <c r="AQ1194"/>
      <c r="AS1194" s="66"/>
      <c r="AT1194"/>
      <c r="AU1194"/>
      <c r="AV1194"/>
      <c r="AW1194"/>
      <c r="BK1194" s="66"/>
      <c r="BL1194"/>
      <c r="BM1194"/>
      <c r="BN1194"/>
      <c r="BO1194"/>
      <c r="BQ1194" s="66"/>
      <c r="BR1194"/>
      <c r="BS1194"/>
      <c r="BT1194"/>
      <c r="BU1194"/>
    </row>
    <row r="1195" spans="39:73" x14ac:dyDescent="0.25">
      <c r="AM1195" s="66"/>
      <c r="AN1195"/>
      <c r="AO1195"/>
      <c r="AP1195"/>
      <c r="AQ1195"/>
      <c r="AS1195" s="66"/>
      <c r="AT1195"/>
      <c r="AU1195"/>
      <c r="AV1195"/>
      <c r="AW1195"/>
      <c r="BK1195" s="66"/>
      <c r="BL1195"/>
      <c r="BM1195"/>
      <c r="BN1195"/>
      <c r="BO1195"/>
      <c r="BQ1195" s="66"/>
      <c r="BR1195"/>
      <c r="BS1195"/>
      <c r="BT1195"/>
      <c r="BU1195"/>
    </row>
    <row r="1196" spans="39:73" x14ac:dyDescent="0.25">
      <c r="AM1196" s="66"/>
      <c r="AN1196"/>
      <c r="AO1196"/>
      <c r="AP1196"/>
      <c r="AQ1196"/>
      <c r="AS1196" s="66"/>
      <c r="AT1196"/>
      <c r="AU1196"/>
      <c r="AV1196"/>
      <c r="AW1196"/>
      <c r="BK1196" s="66"/>
      <c r="BL1196"/>
      <c r="BM1196"/>
      <c r="BN1196"/>
      <c r="BO1196"/>
      <c r="BQ1196" s="66"/>
      <c r="BR1196"/>
      <c r="BS1196"/>
      <c r="BT1196"/>
      <c r="BU1196"/>
    </row>
    <row r="1197" spans="39:73" x14ac:dyDescent="0.25">
      <c r="AM1197" s="66"/>
      <c r="AN1197"/>
      <c r="AO1197"/>
      <c r="AP1197"/>
      <c r="AQ1197"/>
      <c r="AS1197" s="66"/>
      <c r="AT1197"/>
      <c r="AU1197"/>
      <c r="AV1197"/>
      <c r="AW1197"/>
      <c r="BK1197" s="66"/>
      <c r="BL1197"/>
      <c r="BM1197"/>
      <c r="BN1197"/>
      <c r="BO1197"/>
      <c r="BQ1197" s="66"/>
      <c r="BR1197"/>
      <c r="BS1197"/>
      <c r="BT1197"/>
      <c r="BU1197"/>
    </row>
    <row r="1198" spans="39:73" x14ac:dyDescent="0.25">
      <c r="AM1198" s="66"/>
      <c r="AN1198"/>
      <c r="AO1198"/>
      <c r="AP1198"/>
      <c r="AQ1198"/>
      <c r="AS1198" s="66"/>
      <c r="AT1198"/>
      <c r="AU1198"/>
      <c r="AV1198"/>
      <c r="AW1198"/>
      <c r="BK1198" s="66"/>
      <c r="BL1198"/>
      <c r="BM1198"/>
      <c r="BN1198"/>
      <c r="BO1198"/>
      <c r="BQ1198" s="66"/>
      <c r="BR1198"/>
      <c r="BS1198"/>
      <c r="BT1198"/>
      <c r="BU1198"/>
    </row>
    <row r="1199" spans="39:73" x14ac:dyDescent="0.25">
      <c r="AM1199" s="66"/>
      <c r="AN1199"/>
      <c r="AO1199"/>
      <c r="AP1199"/>
      <c r="AQ1199"/>
      <c r="AS1199" s="66"/>
      <c r="AT1199"/>
      <c r="AU1199"/>
      <c r="AV1199"/>
      <c r="AW1199"/>
      <c r="BK1199" s="66"/>
      <c r="BL1199"/>
      <c r="BM1199"/>
      <c r="BN1199"/>
      <c r="BO1199"/>
      <c r="BQ1199" s="66"/>
      <c r="BR1199"/>
      <c r="BS1199"/>
      <c r="BT1199"/>
      <c r="BU1199"/>
    </row>
    <row r="1200" spans="39:73" x14ac:dyDescent="0.25">
      <c r="AM1200" s="66"/>
      <c r="AN1200"/>
      <c r="AO1200"/>
      <c r="AP1200"/>
      <c r="AQ1200"/>
      <c r="AS1200" s="66"/>
      <c r="AT1200"/>
      <c r="AU1200"/>
      <c r="AV1200"/>
      <c r="AW1200"/>
      <c r="BK1200" s="66"/>
      <c r="BL1200"/>
      <c r="BM1200"/>
      <c r="BN1200"/>
      <c r="BO1200"/>
      <c r="BQ1200" s="66"/>
      <c r="BR1200"/>
      <c r="BS1200"/>
      <c r="BT1200"/>
      <c r="BU1200"/>
    </row>
    <row r="1201" spans="39:73" x14ac:dyDescent="0.25">
      <c r="AM1201" s="66"/>
      <c r="AN1201"/>
      <c r="AO1201"/>
      <c r="AP1201"/>
      <c r="AQ1201"/>
      <c r="AS1201" s="66"/>
      <c r="AT1201"/>
      <c r="AU1201"/>
      <c r="AV1201"/>
      <c r="AW1201"/>
      <c r="BK1201" s="66"/>
      <c r="BL1201"/>
      <c r="BM1201"/>
      <c r="BN1201"/>
      <c r="BO1201"/>
      <c r="BQ1201" s="66"/>
      <c r="BR1201"/>
      <c r="BS1201"/>
      <c r="BT1201"/>
      <c r="BU1201"/>
    </row>
    <row r="1202" spans="39:73" x14ac:dyDescent="0.25">
      <c r="AM1202" s="66"/>
      <c r="AN1202"/>
      <c r="AO1202"/>
      <c r="AP1202"/>
      <c r="AQ1202"/>
      <c r="AS1202" s="66"/>
      <c r="AT1202"/>
      <c r="AU1202"/>
      <c r="AV1202"/>
      <c r="AW1202"/>
      <c r="BK1202" s="66"/>
      <c r="BL1202"/>
      <c r="BM1202"/>
      <c r="BN1202"/>
      <c r="BO1202"/>
      <c r="BQ1202" s="66"/>
      <c r="BR1202"/>
      <c r="BS1202"/>
      <c r="BT1202"/>
      <c r="BU1202"/>
    </row>
    <row r="1203" spans="39:73" x14ac:dyDescent="0.25">
      <c r="AM1203" s="66"/>
      <c r="AN1203"/>
      <c r="AO1203"/>
      <c r="AP1203"/>
      <c r="AQ1203"/>
      <c r="AS1203" s="66"/>
      <c r="AT1203"/>
      <c r="AU1203"/>
      <c r="AV1203"/>
      <c r="AW1203"/>
      <c r="BK1203" s="66"/>
      <c r="BL1203"/>
      <c r="BM1203"/>
      <c r="BN1203"/>
      <c r="BO1203"/>
      <c r="BQ1203" s="66"/>
      <c r="BR1203"/>
      <c r="BS1203"/>
      <c r="BT1203"/>
      <c r="BU1203"/>
    </row>
    <row r="1204" spans="39:73" x14ac:dyDescent="0.25">
      <c r="AM1204" s="66"/>
      <c r="AN1204"/>
      <c r="AO1204"/>
      <c r="AP1204"/>
      <c r="AQ1204"/>
      <c r="AS1204" s="66"/>
      <c r="AT1204"/>
      <c r="AU1204"/>
      <c r="AV1204"/>
      <c r="AW1204"/>
      <c r="BK1204" s="66"/>
      <c r="BL1204"/>
      <c r="BM1204"/>
      <c r="BN1204"/>
      <c r="BO1204"/>
      <c r="BQ1204" s="66"/>
      <c r="BR1204"/>
      <c r="BS1204"/>
      <c r="BT1204"/>
      <c r="BU1204"/>
    </row>
    <row r="1205" spans="39:73" x14ac:dyDescent="0.25">
      <c r="AM1205" s="66"/>
      <c r="AN1205"/>
      <c r="AO1205"/>
      <c r="AP1205"/>
      <c r="AQ1205"/>
      <c r="AS1205" s="66"/>
      <c r="AT1205"/>
      <c r="AU1205"/>
      <c r="AV1205"/>
      <c r="AW1205"/>
      <c r="BK1205" s="66"/>
      <c r="BL1205"/>
      <c r="BM1205"/>
      <c r="BN1205"/>
      <c r="BO1205"/>
      <c r="BQ1205" s="66"/>
      <c r="BR1205"/>
      <c r="BS1205"/>
      <c r="BT1205"/>
      <c r="BU1205"/>
    </row>
    <row r="1206" spans="39:73" x14ac:dyDescent="0.25">
      <c r="AM1206" s="66"/>
      <c r="AN1206"/>
      <c r="AO1206"/>
      <c r="AP1206"/>
      <c r="AQ1206"/>
      <c r="AS1206" s="66"/>
      <c r="AT1206"/>
      <c r="AU1206"/>
      <c r="AV1206"/>
      <c r="AW1206"/>
      <c r="BK1206" s="66"/>
      <c r="BL1206"/>
      <c r="BM1206"/>
      <c r="BN1206"/>
      <c r="BO1206"/>
      <c r="BQ1206" s="66"/>
      <c r="BR1206"/>
      <c r="BS1206"/>
      <c r="BT1206"/>
      <c r="BU1206"/>
    </row>
    <row r="1207" spans="39:73" x14ac:dyDescent="0.25">
      <c r="AM1207" s="66"/>
      <c r="AN1207"/>
      <c r="AO1207"/>
      <c r="AP1207"/>
      <c r="AQ1207"/>
      <c r="AS1207" s="66"/>
      <c r="AT1207"/>
      <c r="AU1207"/>
      <c r="AV1207"/>
      <c r="AW1207"/>
      <c r="BK1207" s="66"/>
      <c r="BL1207"/>
      <c r="BM1207"/>
      <c r="BN1207"/>
      <c r="BO1207"/>
      <c r="BQ1207" s="66"/>
      <c r="BR1207"/>
      <c r="BS1207"/>
      <c r="BT1207"/>
      <c r="BU1207"/>
    </row>
    <row r="1208" spans="39:73" x14ac:dyDescent="0.25">
      <c r="AM1208" s="66"/>
      <c r="AN1208"/>
      <c r="AO1208"/>
      <c r="AP1208"/>
      <c r="AQ1208"/>
      <c r="AS1208" s="66"/>
      <c r="AT1208"/>
      <c r="AU1208"/>
      <c r="AV1208"/>
      <c r="AW1208"/>
      <c r="BK1208" s="66"/>
      <c r="BL1208"/>
      <c r="BM1208"/>
      <c r="BN1208"/>
      <c r="BO1208"/>
      <c r="BQ1208" s="66"/>
      <c r="BR1208"/>
      <c r="BS1208"/>
      <c r="BT1208"/>
      <c r="BU1208"/>
    </row>
    <row r="1209" spans="39:73" x14ac:dyDescent="0.25">
      <c r="AM1209" s="66"/>
      <c r="AN1209"/>
      <c r="AO1209"/>
      <c r="AP1209"/>
      <c r="AQ1209"/>
      <c r="AS1209" s="66"/>
      <c r="AT1209"/>
      <c r="AU1209"/>
      <c r="AV1209"/>
      <c r="AW1209"/>
      <c r="BK1209" s="66"/>
      <c r="BL1209"/>
      <c r="BM1209"/>
      <c r="BN1209"/>
      <c r="BO1209"/>
      <c r="BQ1209" s="66"/>
      <c r="BR1209"/>
      <c r="BS1209"/>
      <c r="BT1209"/>
      <c r="BU1209"/>
    </row>
    <row r="1210" spans="39:73" x14ac:dyDescent="0.25">
      <c r="AM1210" s="66"/>
      <c r="AN1210"/>
      <c r="AO1210"/>
      <c r="AP1210"/>
      <c r="AQ1210"/>
      <c r="AS1210" s="66"/>
      <c r="AT1210"/>
      <c r="AU1210"/>
      <c r="AV1210"/>
      <c r="AW1210"/>
      <c r="BK1210" s="66"/>
      <c r="BL1210"/>
      <c r="BM1210"/>
      <c r="BN1210"/>
      <c r="BO1210"/>
      <c r="BQ1210" s="66"/>
      <c r="BR1210"/>
      <c r="BS1210"/>
      <c r="BT1210"/>
      <c r="BU1210"/>
    </row>
    <row r="1211" spans="39:73" x14ac:dyDescent="0.25">
      <c r="AM1211" s="66"/>
      <c r="AN1211"/>
      <c r="AO1211"/>
      <c r="AP1211"/>
      <c r="AQ1211"/>
      <c r="AS1211" s="66"/>
      <c r="AT1211"/>
      <c r="AU1211"/>
      <c r="AV1211"/>
      <c r="AW1211"/>
      <c r="BK1211" s="66"/>
      <c r="BL1211"/>
      <c r="BM1211"/>
      <c r="BN1211"/>
      <c r="BO1211"/>
      <c r="BQ1211" s="66"/>
      <c r="BR1211"/>
      <c r="BS1211"/>
      <c r="BT1211"/>
      <c r="BU1211"/>
    </row>
    <row r="1212" spans="39:73" x14ac:dyDescent="0.25">
      <c r="AM1212" s="66"/>
      <c r="AN1212"/>
      <c r="AO1212"/>
      <c r="AP1212"/>
      <c r="AQ1212"/>
      <c r="AS1212" s="66"/>
      <c r="AT1212"/>
      <c r="AU1212"/>
      <c r="AV1212"/>
      <c r="AW1212"/>
      <c r="BK1212" s="66"/>
      <c r="BL1212"/>
      <c r="BM1212"/>
      <c r="BN1212"/>
      <c r="BO1212"/>
      <c r="BQ1212" s="66"/>
      <c r="BR1212"/>
      <c r="BS1212"/>
      <c r="BT1212"/>
      <c r="BU1212"/>
    </row>
    <row r="1213" spans="39:73" x14ac:dyDescent="0.25">
      <c r="AM1213" s="66"/>
      <c r="AN1213"/>
      <c r="AO1213"/>
      <c r="AP1213"/>
      <c r="AQ1213"/>
      <c r="AS1213" s="66"/>
      <c r="AT1213"/>
      <c r="AU1213"/>
      <c r="AV1213"/>
      <c r="AW1213"/>
      <c r="BK1213" s="66"/>
      <c r="BL1213"/>
      <c r="BM1213"/>
      <c r="BN1213"/>
      <c r="BO1213"/>
      <c r="BQ1213" s="66"/>
      <c r="BR1213"/>
      <c r="BS1213"/>
      <c r="BT1213"/>
      <c r="BU1213"/>
    </row>
    <row r="1214" spans="39:73" x14ac:dyDescent="0.25">
      <c r="AM1214" s="66"/>
      <c r="AN1214"/>
      <c r="AO1214"/>
      <c r="AP1214"/>
      <c r="AQ1214"/>
      <c r="AS1214" s="66"/>
      <c r="AT1214"/>
      <c r="AU1214"/>
      <c r="AV1214"/>
      <c r="AW1214"/>
      <c r="BK1214" s="66"/>
      <c r="BL1214"/>
      <c r="BM1214"/>
      <c r="BN1214"/>
      <c r="BO1214"/>
      <c r="BQ1214" s="66"/>
      <c r="BR1214"/>
      <c r="BS1214"/>
      <c r="BT1214"/>
      <c r="BU1214"/>
    </row>
    <row r="1215" spans="39:73" x14ac:dyDescent="0.25">
      <c r="AM1215" s="66"/>
      <c r="AN1215"/>
      <c r="AO1215"/>
      <c r="AP1215"/>
      <c r="AQ1215"/>
      <c r="AS1215" s="66"/>
      <c r="AT1215"/>
      <c r="AU1215"/>
      <c r="AV1215"/>
      <c r="AW1215"/>
      <c r="BK1215" s="66"/>
      <c r="BL1215"/>
      <c r="BM1215"/>
      <c r="BN1215"/>
      <c r="BO1215"/>
      <c r="BQ1215" s="66"/>
      <c r="BR1215"/>
      <c r="BS1215"/>
      <c r="BT1215"/>
      <c r="BU1215"/>
    </row>
    <row r="1216" spans="39:73" x14ac:dyDescent="0.25">
      <c r="AM1216" s="66"/>
      <c r="AN1216"/>
      <c r="AO1216"/>
      <c r="AP1216"/>
      <c r="AQ1216"/>
      <c r="AS1216" s="66"/>
      <c r="AT1216"/>
      <c r="AU1216"/>
      <c r="AV1216"/>
      <c r="AW1216"/>
      <c r="BK1216" s="66"/>
      <c r="BL1216"/>
      <c r="BM1216"/>
      <c r="BN1216"/>
      <c r="BO1216"/>
      <c r="BQ1216" s="66"/>
      <c r="BR1216"/>
      <c r="BS1216"/>
      <c r="BT1216"/>
      <c r="BU1216"/>
    </row>
    <row r="1217" spans="39:73" x14ac:dyDescent="0.25">
      <c r="AM1217" s="66"/>
      <c r="AN1217"/>
      <c r="AO1217"/>
      <c r="AP1217"/>
      <c r="AQ1217"/>
      <c r="AS1217" s="66"/>
      <c r="AT1217"/>
      <c r="AU1217"/>
      <c r="AV1217"/>
      <c r="AW1217"/>
      <c r="BK1217" s="66"/>
      <c r="BL1217"/>
      <c r="BM1217"/>
      <c r="BN1217"/>
      <c r="BO1217"/>
      <c r="BQ1217" s="66"/>
      <c r="BR1217"/>
      <c r="BS1217"/>
      <c r="BT1217"/>
      <c r="BU1217"/>
    </row>
    <row r="1218" spans="39:73" x14ac:dyDescent="0.25">
      <c r="AM1218" s="66"/>
      <c r="AN1218"/>
      <c r="AO1218"/>
      <c r="AP1218"/>
      <c r="AQ1218"/>
      <c r="AS1218" s="66"/>
      <c r="AT1218"/>
      <c r="AU1218"/>
      <c r="AV1218"/>
      <c r="AW1218"/>
      <c r="BK1218" s="66"/>
      <c r="BL1218"/>
      <c r="BM1218"/>
      <c r="BN1218"/>
      <c r="BO1218"/>
      <c r="BQ1218" s="66"/>
      <c r="BR1218"/>
      <c r="BS1218"/>
      <c r="BT1218"/>
      <c r="BU1218"/>
    </row>
    <row r="1219" spans="39:73" x14ac:dyDescent="0.25">
      <c r="AM1219" s="66"/>
      <c r="AN1219"/>
      <c r="AO1219"/>
      <c r="AP1219"/>
      <c r="AQ1219"/>
      <c r="AS1219" s="66"/>
      <c r="AT1219"/>
      <c r="AU1219"/>
      <c r="AV1219"/>
      <c r="AW1219"/>
      <c r="BK1219" s="66"/>
      <c r="BL1219"/>
      <c r="BM1219"/>
      <c r="BN1219"/>
      <c r="BO1219"/>
      <c r="BQ1219" s="66"/>
      <c r="BR1219"/>
      <c r="BS1219"/>
      <c r="BT1219"/>
      <c r="BU1219"/>
    </row>
    <row r="1220" spans="39:73" x14ac:dyDescent="0.25">
      <c r="AM1220" s="66"/>
      <c r="AN1220"/>
      <c r="AO1220"/>
      <c r="AP1220"/>
      <c r="AQ1220"/>
      <c r="AS1220" s="66"/>
      <c r="AT1220"/>
      <c r="AU1220"/>
      <c r="AV1220"/>
      <c r="AW1220"/>
      <c r="BK1220" s="66"/>
      <c r="BL1220"/>
      <c r="BM1220"/>
      <c r="BN1220"/>
      <c r="BO1220"/>
      <c r="BQ1220" s="66"/>
      <c r="BR1220"/>
      <c r="BS1220"/>
      <c r="BT1220"/>
      <c r="BU1220"/>
    </row>
    <row r="1221" spans="39:73" x14ac:dyDescent="0.25">
      <c r="AM1221" s="66"/>
      <c r="AN1221"/>
      <c r="AO1221"/>
      <c r="AP1221"/>
      <c r="AQ1221"/>
      <c r="AS1221" s="66"/>
      <c r="AT1221"/>
      <c r="AU1221"/>
      <c r="AV1221"/>
      <c r="AW1221"/>
      <c r="BK1221" s="66"/>
      <c r="BL1221"/>
      <c r="BM1221"/>
      <c r="BN1221"/>
      <c r="BO1221"/>
      <c r="BQ1221" s="66"/>
      <c r="BR1221"/>
      <c r="BS1221"/>
      <c r="BT1221"/>
      <c r="BU1221"/>
    </row>
    <row r="1222" spans="39:73" x14ac:dyDescent="0.25">
      <c r="AM1222" s="66"/>
      <c r="AN1222"/>
      <c r="AO1222"/>
      <c r="AP1222"/>
      <c r="AQ1222"/>
      <c r="AS1222" s="66"/>
      <c r="AT1222"/>
      <c r="AU1222"/>
      <c r="AV1222"/>
      <c r="AW1222"/>
      <c r="BK1222" s="66"/>
      <c r="BL1222"/>
      <c r="BM1222"/>
      <c r="BN1222"/>
      <c r="BO1222"/>
      <c r="BQ1222" s="66"/>
      <c r="BR1222"/>
      <c r="BS1222"/>
      <c r="BT1222"/>
      <c r="BU1222"/>
    </row>
    <row r="1223" spans="39:73" x14ac:dyDescent="0.25">
      <c r="AM1223" s="66"/>
      <c r="AN1223"/>
      <c r="AO1223"/>
      <c r="AP1223"/>
      <c r="AQ1223"/>
      <c r="AS1223" s="66"/>
      <c r="AT1223"/>
      <c r="AU1223"/>
      <c r="AV1223"/>
      <c r="AW1223"/>
      <c r="BK1223" s="66"/>
      <c r="BL1223"/>
      <c r="BM1223"/>
      <c r="BN1223"/>
      <c r="BO1223"/>
      <c r="BQ1223" s="66"/>
      <c r="BR1223"/>
      <c r="BS1223"/>
      <c r="BT1223"/>
      <c r="BU1223"/>
    </row>
    <row r="1224" spans="39:73" x14ac:dyDescent="0.25">
      <c r="AM1224" s="66"/>
      <c r="AN1224"/>
      <c r="AO1224"/>
      <c r="AP1224"/>
      <c r="AQ1224"/>
      <c r="AS1224" s="66"/>
      <c r="AT1224"/>
      <c r="AU1224"/>
      <c r="AV1224"/>
      <c r="AW1224"/>
      <c r="BK1224" s="66"/>
      <c r="BL1224"/>
      <c r="BM1224"/>
      <c r="BN1224"/>
      <c r="BO1224"/>
      <c r="BQ1224" s="66"/>
      <c r="BR1224"/>
      <c r="BS1224"/>
      <c r="BT1224"/>
      <c r="BU1224"/>
    </row>
    <row r="1225" spans="39:73" x14ac:dyDescent="0.25">
      <c r="AM1225" s="66"/>
      <c r="AN1225"/>
      <c r="AO1225"/>
      <c r="AP1225"/>
      <c r="AQ1225"/>
      <c r="AS1225" s="66"/>
      <c r="AT1225"/>
      <c r="AU1225"/>
      <c r="AV1225"/>
      <c r="AW1225"/>
      <c r="BK1225" s="66"/>
      <c r="BL1225"/>
      <c r="BM1225"/>
      <c r="BN1225"/>
      <c r="BO1225"/>
      <c r="BQ1225" s="66"/>
      <c r="BR1225"/>
      <c r="BS1225"/>
      <c r="BT1225"/>
      <c r="BU1225"/>
    </row>
    <row r="1226" spans="39:73" x14ac:dyDescent="0.25">
      <c r="AM1226" s="66"/>
      <c r="AN1226"/>
      <c r="AO1226"/>
      <c r="AP1226"/>
      <c r="AQ1226"/>
      <c r="AS1226" s="66"/>
      <c r="AT1226"/>
      <c r="AU1226"/>
      <c r="AV1226"/>
      <c r="AW1226"/>
      <c r="BK1226" s="66"/>
      <c r="BL1226"/>
      <c r="BM1226"/>
      <c r="BN1226"/>
      <c r="BO1226"/>
      <c r="BQ1226" s="66"/>
      <c r="BR1226"/>
      <c r="BS1226"/>
      <c r="BT1226"/>
      <c r="BU1226"/>
    </row>
    <row r="1227" spans="39:73" x14ac:dyDescent="0.25">
      <c r="AM1227" s="66"/>
      <c r="AN1227"/>
      <c r="AO1227"/>
      <c r="AP1227"/>
      <c r="AQ1227"/>
      <c r="AS1227" s="66"/>
      <c r="AT1227"/>
      <c r="AU1227"/>
      <c r="AV1227"/>
      <c r="AW1227"/>
      <c r="BK1227" s="66"/>
      <c r="BL1227"/>
      <c r="BM1227"/>
      <c r="BN1227"/>
      <c r="BO1227"/>
      <c r="BQ1227" s="66"/>
      <c r="BR1227"/>
      <c r="BS1227"/>
      <c r="BT1227"/>
      <c r="BU1227"/>
    </row>
    <row r="1228" spans="39:73" x14ac:dyDescent="0.25">
      <c r="AM1228" s="66"/>
      <c r="AN1228"/>
      <c r="AO1228"/>
      <c r="AP1228"/>
      <c r="AQ1228"/>
      <c r="AS1228" s="66"/>
      <c r="AT1228"/>
      <c r="AU1228"/>
      <c r="AV1228"/>
      <c r="AW1228"/>
      <c r="BK1228" s="66"/>
      <c r="BL1228"/>
      <c r="BM1228"/>
      <c r="BN1228"/>
      <c r="BO1228"/>
      <c r="BQ1228" s="66"/>
      <c r="BR1228"/>
      <c r="BS1228"/>
      <c r="BT1228"/>
      <c r="BU1228"/>
    </row>
    <row r="1229" spans="39:73" x14ac:dyDescent="0.25">
      <c r="AM1229" s="66"/>
      <c r="AN1229"/>
      <c r="AO1229"/>
      <c r="AP1229"/>
      <c r="AQ1229"/>
      <c r="AS1229" s="66"/>
      <c r="AT1229"/>
      <c r="AU1229"/>
      <c r="AV1229"/>
      <c r="AW1229"/>
      <c r="BK1229" s="66"/>
      <c r="BL1229"/>
      <c r="BM1229"/>
      <c r="BN1229"/>
      <c r="BO1229"/>
      <c r="BQ1229" s="66"/>
      <c r="BR1229"/>
      <c r="BS1229"/>
      <c r="BT1229"/>
      <c r="BU1229"/>
    </row>
    <row r="1230" spans="39:73" x14ac:dyDescent="0.25">
      <c r="AM1230" s="66"/>
      <c r="AN1230"/>
      <c r="AO1230"/>
      <c r="AP1230"/>
      <c r="AQ1230"/>
      <c r="AS1230" s="66"/>
      <c r="AT1230"/>
      <c r="AU1230"/>
      <c r="AV1230"/>
      <c r="AW1230"/>
      <c r="BK1230" s="66"/>
      <c r="BL1230"/>
      <c r="BM1230"/>
      <c r="BN1230"/>
      <c r="BO1230"/>
      <c r="BQ1230" s="66"/>
      <c r="BR1230"/>
      <c r="BS1230"/>
      <c r="BT1230"/>
      <c r="BU1230"/>
    </row>
    <row r="1231" spans="39:73" x14ac:dyDescent="0.25">
      <c r="AM1231" s="66"/>
      <c r="AN1231"/>
      <c r="AO1231"/>
      <c r="AP1231"/>
      <c r="AQ1231"/>
      <c r="AS1231" s="66"/>
      <c r="AT1231"/>
      <c r="AU1231"/>
      <c r="AV1231"/>
      <c r="AW1231"/>
      <c r="BK1231" s="66"/>
      <c r="BL1231"/>
      <c r="BM1231"/>
      <c r="BN1231"/>
      <c r="BO1231"/>
      <c r="BQ1231" s="66"/>
      <c r="BR1231"/>
      <c r="BS1231"/>
      <c r="BT1231"/>
      <c r="BU1231"/>
    </row>
    <row r="1232" spans="39:73" x14ac:dyDescent="0.25">
      <c r="AM1232" s="66"/>
      <c r="AN1232"/>
      <c r="AO1232"/>
      <c r="AP1232"/>
      <c r="AQ1232"/>
      <c r="AS1232" s="66"/>
      <c r="AT1232"/>
      <c r="AU1232"/>
      <c r="AV1232"/>
      <c r="AW1232"/>
      <c r="BK1232" s="66"/>
      <c r="BL1232"/>
      <c r="BM1232"/>
      <c r="BN1232"/>
      <c r="BO1232"/>
      <c r="BQ1232" s="66"/>
      <c r="BR1232"/>
      <c r="BS1232"/>
      <c r="BT1232"/>
      <c r="BU1232"/>
    </row>
    <row r="1233" spans="39:73" x14ac:dyDescent="0.25">
      <c r="AM1233" s="66"/>
      <c r="AN1233"/>
      <c r="AO1233"/>
      <c r="AP1233"/>
      <c r="AQ1233"/>
      <c r="AS1233" s="66"/>
      <c r="AT1233"/>
      <c r="AU1233"/>
      <c r="AV1233"/>
      <c r="AW1233"/>
      <c r="BK1233" s="66"/>
      <c r="BL1233"/>
      <c r="BM1233"/>
      <c r="BN1233"/>
      <c r="BO1233"/>
      <c r="BQ1233" s="66"/>
      <c r="BR1233"/>
      <c r="BS1233"/>
      <c r="BT1233"/>
      <c r="BU1233"/>
    </row>
    <row r="1234" spans="39:73" x14ac:dyDescent="0.25">
      <c r="AM1234" s="66"/>
      <c r="AN1234"/>
      <c r="AO1234"/>
      <c r="AP1234"/>
      <c r="AQ1234"/>
      <c r="AS1234" s="66"/>
      <c r="AT1234"/>
      <c r="AU1234"/>
      <c r="AV1234"/>
      <c r="AW1234"/>
      <c r="BK1234" s="66"/>
      <c r="BL1234"/>
      <c r="BM1234"/>
      <c r="BN1234"/>
      <c r="BO1234"/>
      <c r="BQ1234" s="66"/>
      <c r="BR1234"/>
      <c r="BS1234"/>
      <c r="BT1234"/>
      <c r="BU1234"/>
    </row>
    <row r="1235" spans="39:73" x14ac:dyDescent="0.25">
      <c r="AM1235" s="66"/>
      <c r="AN1235"/>
      <c r="AO1235"/>
      <c r="AP1235"/>
      <c r="AQ1235"/>
      <c r="AS1235" s="66"/>
      <c r="AT1235"/>
      <c r="AU1235"/>
      <c r="AV1235"/>
      <c r="AW1235"/>
      <c r="BK1235" s="66"/>
      <c r="BL1235"/>
      <c r="BM1235"/>
      <c r="BN1235"/>
      <c r="BO1235"/>
      <c r="BQ1235" s="66"/>
      <c r="BR1235"/>
      <c r="BS1235"/>
      <c r="BT1235"/>
      <c r="BU1235"/>
    </row>
    <row r="1236" spans="39:73" x14ac:dyDescent="0.25">
      <c r="AM1236" s="66"/>
      <c r="AN1236"/>
      <c r="AO1236"/>
      <c r="AP1236"/>
      <c r="AQ1236"/>
      <c r="AS1236" s="66"/>
      <c r="AT1236"/>
      <c r="AU1236"/>
      <c r="AV1236"/>
      <c r="AW1236"/>
      <c r="BK1236" s="66"/>
      <c r="BL1236"/>
      <c r="BM1236"/>
      <c r="BN1236"/>
      <c r="BO1236"/>
      <c r="BQ1236" s="66"/>
      <c r="BR1236"/>
      <c r="BS1236"/>
      <c r="BT1236"/>
      <c r="BU1236"/>
    </row>
    <row r="1237" spans="39:73" x14ac:dyDescent="0.25">
      <c r="AM1237" s="66"/>
      <c r="AN1237"/>
      <c r="AO1237"/>
      <c r="AP1237"/>
      <c r="AQ1237"/>
      <c r="AS1237" s="66"/>
      <c r="AT1237"/>
      <c r="AU1237"/>
      <c r="AV1237"/>
      <c r="AW1237"/>
      <c r="BK1237" s="66"/>
      <c r="BL1237"/>
      <c r="BM1237"/>
      <c r="BN1237"/>
      <c r="BO1237"/>
      <c r="BQ1237" s="66"/>
      <c r="BR1237"/>
      <c r="BS1237"/>
      <c r="BT1237"/>
      <c r="BU1237"/>
    </row>
    <row r="1238" spans="39:73" x14ac:dyDescent="0.25">
      <c r="AM1238" s="66"/>
      <c r="AN1238"/>
      <c r="AO1238"/>
      <c r="AP1238"/>
      <c r="AQ1238"/>
      <c r="AS1238" s="66"/>
      <c r="AT1238"/>
      <c r="AU1238"/>
      <c r="AV1238"/>
      <c r="AW1238"/>
      <c r="BK1238" s="66"/>
      <c r="BL1238"/>
      <c r="BM1238"/>
      <c r="BN1238"/>
      <c r="BO1238"/>
      <c r="BQ1238" s="66"/>
      <c r="BR1238"/>
      <c r="BS1238"/>
      <c r="BT1238"/>
      <c r="BU1238"/>
    </row>
    <row r="1239" spans="39:73" x14ac:dyDescent="0.25">
      <c r="AM1239" s="66"/>
      <c r="AN1239"/>
      <c r="AO1239"/>
      <c r="AP1239"/>
      <c r="AQ1239"/>
      <c r="AS1239" s="66"/>
      <c r="AT1239"/>
      <c r="AU1239"/>
      <c r="AV1239"/>
      <c r="AW1239"/>
      <c r="BK1239" s="66"/>
      <c r="BL1239"/>
      <c r="BM1239"/>
      <c r="BN1239"/>
      <c r="BO1239"/>
      <c r="BQ1239" s="66"/>
      <c r="BR1239"/>
      <c r="BS1239"/>
      <c r="BT1239"/>
      <c r="BU1239"/>
    </row>
    <row r="1240" spans="39:73" x14ac:dyDescent="0.25">
      <c r="AM1240" s="66"/>
      <c r="AN1240"/>
      <c r="AO1240"/>
      <c r="AP1240"/>
      <c r="AQ1240"/>
      <c r="AS1240" s="66"/>
      <c r="AT1240"/>
      <c r="AU1240"/>
      <c r="AV1240"/>
      <c r="AW1240"/>
      <c r="BK1240" s="66"/>
      <c r="BL1240"/>
      <c r="BM1240"/>
      <c r="BN1240"/>
      <c r="BO1240"/>
      <c r="BQ1240" s="66"/>
      <c r="BR1240"/>
      <c r="BS1240"/>
      <c r="BT1240"/>
      <c r="BU1240"/>
    </row>
    <row r="1241" spans="39:73" x14ac:dyDescent="0.25">
      <c r="AM1241" s="66"/>
      <c r="AN1241"/>
      <c r="AO1241"/>
      <c r="AP1241"/>
      <c r="AQ1241"/>
      <c r="AS1241" s="66"/>
      <c r="AT1241"/>
      <c r="AU1241"/>
      <c r="AV1241"/>
      <c r="AW1241"/>
      <c r="BK1241" s="66"/>
      <c r="BL1241"/>
      <c r="BM1241"/>
      <c r="BN1241"/>
      <c r="BO1241"/>
      <c r="BQ1241" s="66"/>
      <c r="BR1241"/>
      <c r="BS1241"/>
      <c r="BT1241"/>
      <c r="BU1241"/>
    </row>
    <row r="1242" spans="39:73" x14ac:dyDescent="0.25">
      <c r="AM1242" s="66"/>
      <c r="AN1242"/>
      <c r="AO1242"/>
      <c r="AP1242"/>
      <c r="AQ1242"/>
      <c r="AS1242" s="66"/>
      <c r="AT1242"/>
      <c r="AU1242"/>
      <c r="AV1242"/>
      <c r="AW1242"/>
      <c r="BK1242" s="66"/>
      <c r="BL1242"/>
      <c r="BM1242"/>
      <c r="BN1242"/>
      <c r="BO1242"/>
      <c r="BQ1242" s="66"/>
      <c r="BR1242"/>
      <c r="BS1242"/>
      <c r="BT1242"/>
      <c r="BU1242"/>
    </row>
    <row r="1243" spans="39:73" x14ac:dyDescent="0.25">
      <c r="AM1243" s="66"/>
      <c r="AN1243"/>
      <c r="AO1243"/>
      <c r="AP1243"/>
      <c r="AQ1243"/>
      <c r="AS1243" s="66"/>
      <c r="AT1243"/>
      <c r="AU1243"/>
      <c r="AV1243"/>
      <c r="AW1243"/>
      <c r="BK1243" s="66"/>
      <c r="BL1243"/>
      <c r="BM1243"/>
      <c r="BN1243"/>
      <c r="BO1243"/>
      <c r="BQ1243" s="66"/>
      <c r="BR1243"/>
      <c r="BS1243"/>
      <c r="BT1243"/>
      <c r="BU1243"/>
    </row>
    <row r="1244" spans="39:73" x14ac:dyDescent="0.25">
      <c r="AM1244" s="66"/>
      <c r="AN1244"/>
      <c r="AO1244"/>
      <c r="AP1244"/>
      <c r="AQ1244"/>
      <c r="AS1244" s="66"/>
      <c r="AT1244"/>
      <c r="AU1244"/>
      <c r="AV1244"/>
      <c r="AW1244"/>
      <c r="BK1244" s="66"/>
      <c r="BL1244"/>
      <c r="BM1244"/>
      <c r="BN1244"/>
      <c r="BO1244"/>
      <c r="BQ1244" s="66"/>
      <c r="BR1244"/>
      <c r="BS1244"/>
      <c r="BT1244"/>
      <c r="BU1244"/>
    </row>
    <row r="1245" spans="39:73" x14ac:dyDescent="0.25">
      <c r="AM1245" s="66"/>
      <c r="AN1245"/>
      <c r="AO1245"/>
      <c r="AP1245"/>
      <c r="AQ1245"/>
      <c r="AS1245" s="66"/>
      <c r="AT1245"/>
      <c r="AU1245"/>
      <c r="AV1245"/>
      <c r="AW1245"/>
      <c r="BK1245" s="66"/>
      <c r="BL1245"/>
      <c r="BM1245"/>
      <c r="BN1245"/>
      <c r="BO1245"/>
      <c r="BQ1245" s="66"/>
      <c r="BR1245"/>
      <c r="BS1245"/>
      <c r="BT1245"/>
      <c r="BU1245"/>
    </row>
    <row r="1246" spans="39:73" x14ac:dyDescent="0.25">
      <c r="AM1246" s="66"/>
      <c r="AN1246"/>
      <c r="AO1246"/>
      <c r="AP1246"/>
      <c r="AQ1246"/>
      <c r="AS1246" s="66"/>
      <c r="AT1246"/>
      <c r="AU1246"/>
      <c r="AV1246"/>
      <c r="AW1246"/>
      <c r="BK1246" s="66"/>
      <c r="BL1246"/>
      <c r="BM1246"/>
      <c r="BN1246"/>
      <c r="BO1246"/>
      <c r="BQ1246" s="66"/>
      <c r="BR1246"/>
      <c r="BS1246"/>
      <c r="BT1246"/>
      <c r="BU1246"/>
    </row>
    <row r="1247" spans="39:73" x14ac:dyDescent="0.25">
      <c r="AM1247" s="66"/>
      <c r="AN1247"/>
      <c r="AO1247"/>
      <c r="AP1247"/>
      <c r="AQ1247"/>
      <c r="AS1247" s="66"/>
      <c r="AT1247"/>
      <c r="AU1247"/>
      <c r="AV1247"/>
      <c r="AW1247"/>
      <c r="BK1247" s="66"/>
      <c r="BL1247"/>
      <c r="BM1247"/>
      <c r="BN1247"/>
      <c r="BO1247"/>
      <c r="BQ1247" s="66"/>
      <c r="BR1247"/>
      <c r="BS1247"/>
      <c r="BT1247"/>
      <c r="BU1247"/>
    </row>
    <row r="1248" spans="39:73" x14ac:dyDescent="0.25">
      <c r="AM1248" s="66"/>
      <c r="AN1248"/>
      <c r="AO1248"/>
      <c r="AP1248"/>
      <c r="AQ1248"/>
      <c r="AS1248" s="66"/>
      <c r="AT1248"/>
      <c r="AU1248"/>
      <c r="AV1248"/>
      <c r="AW1248"/>
      <c r="BK1248" s="66"/>
      <c r="BL1248"/>
      <c r="BM1248"/>
      <c r="BN1248"/>
      <c r="BO1248"/>
      <c r="BQ1248" s="66"/>
      <c r="BR1248"/>
      <c r="BS1248"/>
      <c r="BT1248"/>
      <c r="BU1248"/>
    </row>
    <row r="1249" spans="39:73" x14ac:dyDescent="0.25">
      <c r="AM1249" s="66"/>
      <c r="AN1249"/>
      <c r="AO1249"/>
      <c r="AP1249"/>
      <c r="AQ1249"/>
      <c r="AS1249" s="66"/>
      <c r="AT1249"/>
      <c r="AU1249"/>
      <c r="AV1249"/>
      <c r="AW1249"/>
      <c r="BK1249" s="66"/>
      <c r="BL1249"/>
      <c r="BM1249"/>
      <c r="BN1249"/>
      <c r="BO1249"/>
      <c r="BQ1249" s="66"/>
      <c r="BR1249"/>
      <c r="BS1249"/>
      <c r="BT1249"/>
      <c r="BU1249"/>
    </row>
    <row r="1250" spans="39:73" x14ac:dyDescent="0.25">
      <c r="AM1250" s="66"/>
      <c r="AN1250"/>
      <c r="AO1250"/>
      <c r="AP1250"/>
      <c r="AQ1250"/>
      <c r="AS1250" s="66"/>
      <c r="AT1250"/>
      <c r="AU1250"/>
      <c r="AV1250"/>
      <c r="AW1250"/>
      <c r="BK1250" s="66"/>
      <c r="BL1250"/>
      <c r="BM1250"/>
      <c r="BN1250"/>
      <c r="BO1250"/>
      <c r="BQ1250" s="66"/>
      <c r="BR1250"/>
      <c r="BS1250"/>
      <c r="BT1250"/>
      <c r="BU1250"/>
    </row>
    <row r="1251" spans="39:73" x14ac:dyDescent="0.25">
      <c r="AM1251" s="66"/>
      <c r="AN1251"/>
      <c r="AO1251"/>
      <c r="AP1251"/>
      <c r="AQ1251"/>
      <c r="AS1251" s="66"/>
      <c r="AT1251"/>
      <c r="AU1251"/>
      <c r="AV1251"/>
      <c r="AW1251"/>
      <c r="BK1251" s="66"/>
      <c r="BL1251"/>
      <c r="BM1251"/>
      <c r="BN1251"/>
      <c r="BO1251"/>
      <c r="BQ1251" s="66"/>
      <c r="BR1251"/>
      <c r="BS1251"/>
      <c r="BT1251"/>
      <c r="BU1251"/>
    </row>
    <row r="1252" spans="39:73" x14ac:dyDescent="0.25">
      <c r="AM1252" s="66"/>
      <c r="AN1252"/>
      <c r="AO1252"/>
      <c r="AP1252"/>
      <c r="AQ1252"/>
      <c r="AS1252" s="66"/>
      <c r="AT1252"/>
      <c r="AU1252"/>
      <c r="AV1252"/>
      <c r="AW1252"/>
      <c r="BK1252" s="66"/>
      <c r="BL1252"/>
      <c r="BM1252"/>
      <c r="BN1252"/>
      <c r="BO1252"/>
      <c r="BQ1252" s="66"/>
      <c r="BR1252"/>
      <c r="BS1252"/>
      <c r="BT1252"/>
      <c r="BU1252"/>
    </row>
    <row r="1253" spans="39:73" x14ac:dyDescent="0.25">
      <c r="AM1253" s="66"/>
      <c r="AN1253"/>
      <c r="AO1253"/>
      <c r="AP1253"/>
      <c r="AQ1253"/>
      <c r="AS1253" s="66"/>
      <c r="AT1253"/>
      <c r="AU1253"/>
      <c r="AV1253"/>
      <c r="AW1253"/>
      <c r="BK1253" s="66"/>
      <c r="BL1253"/>
      <c r="BM1253"/>
      <c r="BN1253"/>
      <c r="BO1253"/>
      <c r="BQ1253" s="66"/>
      <c r="BR1253"/>
      <c r="BS1253"/>
      <c r="BT1253"/>
      <c r="BU1253"/>
    </row>
    <row r="1254" spans="39:73" x14ac:dyDescent="0.25">
      <c r="AM1254" s="66"/>
      <c r="AN1254"/>
      <c r="AO1254"/>
      <c r="AP1254"/>
      <c r="AQ1254"/>
      <c r="AS1254" s="66"/>
      <c r="AT1254"/>
      <c r="AU1254"/>
      <c r="AV1254"/>
      <c r="AW1254"/>
      <c r="BK1254" s="66"/>
      <c r="BL1254"/>
      <c r="BM1254"/>
      <c r="BN1254"/>
      <c r="BO1254"/>
      <c r="BQ1254" s="66"/>
      <c r="BR1254"/>
      <c r="BS1254"/>
      <c r="BT1254"/>
      <c r="BU1254"/>
    </row>
    <row r="1255" spans="39:73" x14ac:dyDescent="0.25">
      <c r="AM1255" s="66"/>
      <c r="AN1255"/>
      <c r="AO1255"/>
      <c r="AP1255"/>
      <c r="AQ1255"/>
      <c r="AS1255" s="66"/>
      <c r="AT1255"/>
      <c r="AU1255"/>
      <c r="AV1255"/>
      <c r="AW1255"/>
      <c r="BK1255" s="66"/>
      <c r="BL1255"/>
      <c r="BM1255"/>
      <c r="BN1255"/>
      <c r="BO1255"/>
      <c r="BQ1255" s="66"/>
      <c r="BR1255"/>
      <c r="BS1255"/>
      <c r="BT1255"/>
      <c r="BU1255"/>
    </row>
    <row r="1256" spans="39:73" x14ac:dyDescent="0.25">
      <c r="AM1256" s="66"/>
      <c r="AN1256"/>
      <c r="AO1256"/>
      <c r="AP1256"/>
      <c r="AQ1256"/>
      <c r="AS1256" s="66"/>
      <c r="AT1256"/>
      <c r="AU1256"/>
      <c r="AV1256"/>
      <c r="AW1256"/>
      <c r="BK1256" s="66"/>
      <c r="BL1256"/>
      <c r="BM1256"/>
      <c r="BN1256"/>
      <c r="BO1256"/>
      <c r="BQ1256" s="66"/>
      <c r="BR1256"/>
      <c r="BS1256"/>
      <c r="BT1256"/>
      <c r="BU1256"/>
    </row>
    <row r="1257" spans="39:73" x14ac:dyDescent="0.25">
      <c r="AM1257" s="66"/>
      <c r="AN1257"/>
      <c r="AO1257"/>
      <c r="AP1257"/>
      <c r="AQ1257"/>
      <c r="AS1257" s="66"/>
      <c r="AT1257"/>
      <c r="AU1257"/>
      <c r="AV1257"/>
      <c r="AW1257"/>
      <c r="BK1257" s="66"/>
      <c r="BL1257"/>
      <c r="BM1257"/>
      <c r="BN1257"/>
      <c r="BO1257"/>
      <c r="BQ1257" s="66"/>
      <c r="BR1257"/>
      <c r="BS1257"/>
      <c r="BT1257"/>
      <c r="BU1257"/>
    </row>
    <row r="1258" spans="39:73" x14ac:dyDescent="0.25">
      <c r="AM1258" s="66"/>
      <c r="AN1258"/>
      <c r="AO1258"/>
      <c r="AP1258"/>
      <c r="AQ1258"/>
      <c r="AS1258" s="66"/>
      <c r="AT1258"/>
      <c r="AU1258"/>
      <c r="AV1258"/>
      <c r="AW1258"/>
      <c r="BK1258" s="66"/>
      <c r="BL1258"/>
      <c r="BM1258"/>
      <c r="BN1258"/>
      <c r="BO1258"/>
      <c r="BQ1258" s="66"/>
      <c r="BR1258"/>
      <c r="BS1258"/>
      <c r="BT1258"/>
      <c r="BU1258"/>
    </row>
    <row r="1259" spans="39:73" x14ac:dyDescent="0.25">
      <c r="AM1259" s="66"/>
      <c r="AN1259"/>
      <c r="AO1259"/>
      <c r="AP1259"/>
      <c r="AQ1259"/>
      <c r="AS1259" s="66"/>
      <c r="AT1259"/>
      <c r="AU1259"/>
      <c r="AV1259"/>
      <c r="AW1259"/>
      <c r="BK1259" s="66"/>
      <c r="BL1259"/>
      <c r="BM1259"/>
      <c r="BN1259"/>
      <c r="BO1259"/>
      <c r="BQ1259" s="66"/>
      <c r="BR1259"/>
      <c r="BS1259"/>
      <c r="BT1259"/>
      <c r="BU1259"/>
    </row>
    <row r="1260" spans="39:73" x14ac:dyDescent="0.25">
      <c r="AM1260" s="66"/>
      <c r="AN1260"/>
      <c r="AO1260"/>
      <c r="AP1260"/>
      <c r="AQ1260"/>
      <c r="AS1260" s="66"/>
      <c r="AT1260"/>
      <c r="AU1260"/>
      <c r="AV1260"/>
      <c r="AW1260"/>
      <c r="BK1260" s="66"/>
      <c r="BL1260"/>
      <c r="BM1260"/>
      <c r="BN1260"/>
      <c r="BO1260"/>
      <c r="BQ1260" s="66"/>
      <c r="BR1260"/>
      <c r="BS1260"/>
      <c r="BT1260"/>
      <c r="BU1260"/>
    </row>
    <row r="1261" spans="39:73" x14ac:dyDescent="0.25">
      <c r="AM1261" s="66"/>
      <c r="AN1261"/>
      <c r="AO1261"/>
      <c r="AP1261"/>
      <c r="AQ1261"/>
      <c r="AS1261" s="66"/>
      <c r="AT1261"/>
      <c r="AU1261"/>
      <c r="AV1261"/>
      <c r="AW1261"/>
      <c r="BK1261" s="66"/>
      <c r="BL1261"/>
      <c r="BM1261"/>
      <c r="BN1261"/>
      <c r="BO1261"/>
      <c r="BQ1261" s="66"/>
      <c r="BR1261"/>
      <c r="BS1261"/>
      <c r="BT1261"/>
      <c r="BU1261"/>
    </row>
    <row r="1262" spans="39:73" x14ac:dyDescent="0.25">
      <c r="AM1262" s="66"/>
      <c r="AN1262"/>
      <c r="AO1262"/>
      <c r="AP1262"/>
      <c r="AQ1262"/>
      <c r="AS1262" s="66"/>
      <c r="AT1262"/>
      <c r="AU1262"/>
      <c r="AV1262"/>
      <c r="AW1262"/>
      <c r="BK1262" s="66"/>
      <c r="BL1262"/>
      <c r="BM1262"/>
      <c r="BN1262"/>
      <c r="BO1262"/>
      <c r="BQ1262" s="66"/>
      <c r="BR1262"/>
      <c r="BS1262"/>
      <c r="BT1262"/>
      <c r="BU1262"/>
    </row>
    <row r="1263" spans="39:73" x14ac:dyDescent="0.25">
      <c r="AM1263" s="66"/>
      <c r="AN1263"/>
      <c r="AO1263"/>
      <c r="AP1263"/>
      <c r="AQ1263"/>
      <c r="AS1263" s="66"/>
      <c r="AT1263"/>
      <c r="AU1263"/>
      <c r="AV1263"/>
      <c r="AW1263"/>
      <c r="BK1263" s="66"/>
      <c r="BL1263"/>
      <c r="BM1263"/>
      <c r="BN1263"/>
      <c r="BO1263"/>
      <c r="BQ1263" s="66"/>
      <c r="BR1263"/>
      <c r="BS1263"/>
      <c r="BT1263"/>
      <c r="BU1263"/>
    </row>
    <row r="1264" spans="39:73" x14ac:dyDescent="0.25">
      <c r="AM1264" s="66"/>
      <c r="AN1264"/>
      <c r="AO1264"/>
      <c r="AP1264"/>
      <c r="AQ1264"/>
      <c r="AS1264" s="66"/>
      <c r="AT1264"/>
      <c r="AU1264"/>
      <c r="AV1264"/>
      <c r="AW1264"/>
      <c r="BK1264" s="66"/>
      <c r="BL1264"/>
      <c r="BM1264"/>
      <c r="BN1264"/>
      <c r="BO1264"/>
      <c r="BQ1264" s="66"/>
      <c r="BR1264"/>
      <c r="BS1264"/>
      <c r="BT1264"/>
      <c r="BU1264"/>
    </row>
    <row r="1265" spans="39:73" x14ac:dyDescent="0.25">
      <c r="AM1265" s="66"/>
      <c r="AN1265"/>
      <c r="AO1265"/>
      <c r="AP1265"/>
      <c r="AQ1265"/>
      <c r="AS1265" s="66"/>
      <c r="AT1265"/>
      <c r="AU1265"/>
      <c r="AV1265"/>
      <c r="AW1265"/>
      <c r="BK1265" s="66"/>
      <c r="BL1265"/>
      <c r="BM1265"/>
      <c r="BN1265"/>
      <c r="BO1265"/>
      <c r="BQ1265" s="66"/>
      <c r="BR1265"/>
      <c r="BS1265"/>
      <c r="BT1265"/>
      <c r="BU1265"/>
    </row>
    <row r="1266" spans="39:73" x14ac:dyDescent="0.25">
      <c r="AM1266" s="66"/>
      <c r="AN1266"/>
      <c r="AO1266"/>
      <c r="AP1266"/>
      <c r="AQ1266"/>
      <c r="AS1266" s="66"/>
      <c r="AT1266"/>
      <c r="AU1266"/>
      <c r="AV1266"/>
      <c r="AW1266"/>
      <c r="BK1266" s="66"/>
      <c r="BL1266"/>
      <c r="BM1266"/>
      <c r="BN1266"/>
      <c r="BO1266"/>
      <c r="BQ1266" s="66"/>
      <c r="BR1266"/>
      <c r="BS1266"/>
      <c r="BT1266"/>
      <c r="BU1266"/>
    </row>
    <row r="1267" spans="39:73" x14ac:dyDescent="0.25">
      <c r="AM1267" s="66"/>
      <c r="AN1267"/>
      <c r="AO1267"/>
      <c r="AP1267"/>
      <c r="AQ1267"/>
      <c r="AS1267" s="66"/>
      <c r="AT1267"/>
      <c r="AU1267"/>
      <c r="AV1267"/>
      <c r="AW1267"/>
      <c r="BK1267" s="66"/>
      <c r="BL1267"/>
      <c r="BM1267"/>
      <c r="BN1267"/>
      <c r="BO1267"/>
      <c r="BQ1267" s="66"/>
      <c r="BR1267"/>
      <c r="BS1267"/>
      <c r="BT1267"/>
      <c r="BU1267"/>
    </row>
    <row r="1268" spans="39:73" x14ac:dyDescent="0.25">
      <c r="AM1268" s="66"/>
      <c r="AN1268"/>
      <c r="AO1268"/>
      <c r="AP1268"/>
      <c r="AQ1268"/>
      <c r="AS1268" s="66"/>
      <c r="AT1268"/>
      <c r="AU1268"/>
      <c r="AV1268"/>
      <c r="AW1268"/>
      <c r="BK1268" s="66"/>
      <c r="BL1268"/>
      <c r="BM1268"/>
      <c r="BN1268"/>
      <c r="BO1268"/>
      <c r="BQ1268" s="66"/>
      <c r="BR1268"/>
      <c r="BS1268"/>
      <c r="BT1268"/>
      <c r="BU1268"/>
    </row>
    <row r="1269" spans="39:73" x14ac:dyDescent="0.25">
      <c r="AM1269" s="66"/>
      <c r="AN1269"/>
      <c r="AO1269"/>
      <c r="AP1269"/>
      <c r="AQ1269"/>
      <c r="AS1269" s="66"/>
      <c r="AT1269"/>
      <c r="AU1269"/>
      <c r="AV1269"/>
      <c r="AW1269"/>
      <c r="BK1269" s="66"/>
      <c r="BL1269"/>
      <c r="BM1269"/>
      <c r="BN1269"/>
      <c r="BO1269"/>
      <c r="BQ1269" s="66"/>
      <c r="BR1269"/>
      <c r="BS1269"/>
      <c r="BT1269"/>
      <c r="BU1269"/>
    </row>
    <row r="1270" spans="39:73" x14ac:dyDescent="0.25">
      <c r="AM1270" s="66"/>
      <c r="AN1270"/>
      <c r="AO1270"/>
      <c r="AP1270"/>
      <c r="AQ1270"/>
      <c r="AS1270" s="66"/>
      <c r="AT1270"/>
      <c r="AU1270"/>
      <c r="AV1270"/>
      <c r="AW1270"/>
      <c r="BK1270" s="66"/>
      <c r="BL1270"/>
      <c r="BM1270"/>
      <c r="BN1270"/>
      <c r="BO1270"/>
      <c r="BQ1270" s="66"/>
      <c r="BR1270"/>
      <c r="BS1270"/>
      <c r="BT1270"/>
      <c r="BU1270"/>
    </row>
    <row r="1271" spans="39:73" x14ac:dyDescent="0.25">
      <c r="AM1271" s="66"/>
      <c r="AN1271"/>
      <c r="AO1271"/>
      <c r="AP1271"/>
      <c r="AQ1271"/>
      <c r="AS1271" s="66"/>
      <c r="AT1271"/>
      <c r="AU1271"/>
      <c r="AV1271"/>
      <c r="AW1271"/>
      <c r="BK1271" s="66"/>
      <c r="BL1271"/>
      <c r="BM1271"/>
      <c r="BN1271"/>
      <c r="BO1271"/>
      <c r="BQ1271" s="66"/>
      <c r="BR1271"/>
      <c r="BS1271"/>
      <c r="BT1271"/>
      <c r="BU1271"/>
    </row>
    <row r="1272" spans="39:73" x14ac:dyDescent="0.25">
      <c r="AM1272" s="66"/>
      <c r="AN1272"/>
      <c r="AO1272"/>
      <c r="AP1272"/>
      <c r="AQ1272"/>
      <c r="AS1272" s="66"/>
      <c r="AT1272"/>
      <c r="AU1272"/>
      <c r="AV1272"/>
      <c r="AW1272"/>
      <c r="BK1272" s="66"/>
      <c r="BL1272"/>
      <c r="BM1272"/>
      <c r="BN1272"/>
      <c r="BO1272"/>
      <c r="BQ1272" s="66"/>
      <c r="BR1272"/>
      <c r="BS1272"/>
      <c r="BT1272"/>
      <c r="BU1272"/>
    </row>
    <row r="1273" spans="39:73" x14ac:dyDescent="0.25">
      <c r="AM1273" s="66"/>
      <c r="AN1273"/>
      <c r="AO1273"/>
      <c r="AP1273"/>
      <c r="AQ1273"/>
      <c r="AS1273" s="66"/>
      <c r="AT1273"/>
      <c r="AU1273"/>
      <c r="AV1273"/>
      <c r="AW1273"/>
      <c r="BK1273" s="66"/>
      <c r="BL1273"/>
      <c r="BM1273"/>
      <c r="BN1273"/>
      <c r="BO1273"/>
      <c r="BQ1273" s="66"/>
      <c r="BR1273"/>
      <c r="BS1273"/>
      <c r="BT1273"/>
      <c r="BU1273"/>
    </row>
    <row r="1274" spans="39:73" x14ac:dyDescent="0.25">
      <c r="AM1274" s="66"/>
      <c r="AN1274"/>
      <c r="AO1274"/>
      <c r="AP1274"/>
      <c r="AQ1274"/>
      <c r="AS1274" s="66"/>
      <c r="AT1274"/>
      <c r="AU1274"/>
      <c r="AV1274"/>
      <c r="AW1274"/>
      <c r="BK1274" s="66"/>
      <c r="BL1274"/>
      <c r="BM1274"/>
      <c r="BN1274"/>
      <c r="BO1274"/>
      <c r="BQ1274" s="66"/>
      <c r="BR1274"/>
      <c r="BS1274"/>
      <c r="BT1274"/>
      <c r="BU1274"/>
    </row>
    <row r="1275" spans="39:73" x14ac:dyDescent="0.25">
      <c r="AM1275" s="66"/>
      <c r="AN1275"/>
      <c r="AO1275"/>
      <c r="AP1275"/>
      <c r="AQ1275"/>
      <c r="AS1275" s="66"/>
      <c r="AT1275"/>
      <c r="AU1275"/>
      <c r="AV1275"/>
      <c r="AW1275"/>
      <c r="BK1275" s="66"/>
      <c r="BL1275"/>
      <c r="BM1275"/>
      <c r="BN1275"/>
      <c r="BO1275"/>
      <c r="BQ1275" s="66"/>
      <c r="BR1275"/>
      <c r="BS1275"/>
      <c r="BT1275"/>
      <c r="BU1275"/>
    </row>
    <row r="1276" spans="39:73" x14ac:dyDescent="0.25">
      <c r="AM1276" s="66"/>
      <c r="AN1276"/>
      <c r="AO1276"/>
      <c r="AP1276"/>
      <c r="AQ1276"/>
      <c r="AS1276" s="66"/>
      <c r="AT1276"/>
      <c r="AU1276"/>
      <c r="AV1276"/>
      <c r="AW1276"/>
      <c r="BK1276" s="66"/>
      <c r="BL1276"/>
      <c r="BM1276"/>
      <c r="BN1276"/>
      <c r="BO1276"/>
      <c r="BQ1276" s="66"/>
      <c r="BR1276"/>
      <c r="BS1276"/>
      <c r="BT1276"/>
      <c r="BU1276"/>
    </row>
    <row r="1277" spans="39:73" x14ac:dyDescent="0.25">
      <c r="AM1277" s="66"/>
      <c r="AN1277"/>
      <c r="AO1277"/>
      <c r="AP1277"/>
      <c r="AQ1277"/>
      <c r="AS1277" s="66"/>
      <c r="AT1277"/>
      <c r="AU1277"/>
      <c r="AV1277"/>
      <c r="AW1277"/>
      <c r="BK1277" s="66"/>
      <c r="BL1277"/>
      <c r="BM1277"/>
      <c r="BN1277"/>
      <c r="BO1277"/>
      <c r="BQ1277" s="66"/>
      <c r="BR1277"/>
      <c r="BS1277"/>
      <c r="BT1277"/>
      <c r="BU1277"/>
    </row>
    <row r="1278" spans="39:73" x14ac:dyDescent="0.25">
      <c r="AM1278" s="66"/>
      <c r="AN1278"/>
      <c r="AO1278"/>
      <c r="AP1278"/>
      <c r="AQ1278"/>
      <c r="AS1278" s="66"/>
      <c r="AT1278"/>
      <c r="AU1278"/>
      <c r="AV1278"/>
      <c r="AW1278"/>
      <c r="BK1278" s="66"/>
      <c r="BL1278"/>
      <c r="BM1278"/>
      <c r="BN1278"/>
      <c r="BO1278"/>
      <c r="BQ1278" s="66"/>
      <c r="BR1278"/>
      <c r="BS1278"/>
      <c r="BT1278"/>
      <c r="BU1278"/>
    </row>
    <row r="1279" spans="39:73" x14ac:dyDescent="0.25">
      <c r="AM1279" s="66"/>
      <c r="AN1279"/>
      <c r="AO1279"/>
      <c r="AP1279"/>
      <c r="AQ1279"/>
      <c r="AS1279" s="66"/>
      <c r="AT1279"/>
      <c r="AU1279"/>
      <c r="AV1279"/>
      <c r="AW1279"/>
      <c r="BK1279" s="66"/>
      <c r="BL1279"/>
      <c r="BM1279"/>
      <c r="BN1279"/>
      <c r="BO1279"/>
      <c r="BQ1279" s="66"/>
      <c r="BR1279"/>
      <c r="BS1279"/>
      <c r="BT1279"/>
      <c r="BU1279"/>
    </row>
    <row r="1280" spans="39:73" x14ac:dyDescent="0.25">
      <c r="AM1280" s="66"/>
      <c r="AN1280"/>
      <c r="AO1280"/>
      <c r="AP1280"/>
      <c r="AQ1280"/>
      <c r="AS1280" s="66"/>
      <c r="AT1280"/>
      <c r="AU1280"/>
      <c r="AV1280"/>
      <c r="AW1280"/>
      <c r="BK1280" s="66"/>
      <c r="BL1280"/>
      <c r="BM1280"/>
      <c r="BN1280"/>
      <c r="BO1280"/>
      <c r="BQ1280" s="66"/>
      <c r="BR1280"/>
      <c r="BS1280"/>
      <c r="BT1280"/>
      <c r="BU1280"/>
    </row>
    <row r="1281" spans="39:73" x14ac:dyDescent="0.25">
      <c r="AM1281" s="66"/>
      <c r="AN1281"/>
      <c r="AO1281"/>
      <c r="AP1281"/>
      <c r="AQ1281"/>
      <c r="AS1281" s="66"/>
      <c r="AT1281"/>
      <c r="AU1281"/>
      <c r="AV1281"/>
      <c r="AW1281"/>
      <c r="BK1281" s="66"/>
      <c r="BL1281"/>
      <c r="BM1281"/>
      <c r="BN1281"/>
      <c r="BO1281"/>
      <c r="BQ1281" s="66"/>
      <c r="BR1281"/>
      <c r="BS1281"/>
      <c r="BT1281"/>
      <c r="BU1281"/>
    </row>
    <row r="1282" spans="39:73" x14ac:dyDescent="0.25">
      <c r="AM1282" s="66"/>
      <c r="AN1282"/>
      <c r="AO1282"/>
      <c r="AP1282"/>
      <c r="AQ1282"/>
      <c r="AS1282" s="66"/>
      <c r="AT1282"/>
      <c r="AU1282"/>
      <c r="AV1282"/>
      <c r="AW1282"/>
      <c r="BK1282" s="66"/>
      <c r="BL1282"/>
      <c r="BM1282"/>
      <c r="BN1282"/>
      <c r="BO1282"/>
      <c r="BQ1282" s="66"/>
      <c r="BR1282"/>
      <c r="BS1282"/>
      <c r="BT1282"/>
      <c r="BU1282"/>
    </row>
    <row r="1283" spans="39:73" x14ac:dyDescent="0.25">
      <c r="AM1283" s="66"/>
      <c r="AN1283"/>
      <c r="AO1283"/>
      <c r="AP1283"/>
      <c r="AQ1283"/>
      <c r="AS1283" s="66"/>
      <c r="AT1283"/>
      <c r="AU1283"/>
      <c r="AV1283"/>
      <c r="AW1283"/>
      <c r="BK1283" s="66"/>
      <c r="BL1283"/>
      <c r="BM1283"/>
      <c r="BN1283"/>
      <c r="BO1283"/>
      <c r="BQ1283" s="66"/>
      <c r="BR1283"/>
      <c r="BS1283"/>
      <c r="BT1283"/>
      <c r="BU1283"/>
    </row>
    <row r="1284" spans="39:73" x14ac:dyDescent="0.25">
      <c r="AM1284" s="66"/>
      <c r="AN1284"/>
      <c r="AO1284"/>
      <c r="AP1284"/>
      <c r="AQ1284"/>
      <c r="AS1284" s="66"/>
      <c r="AT1284"/>
      <c r="AU1284"/>
      <c r="AV1284"/>
      <c r="AW1284"/>
      <c r="BK1284" s="66"/>
      <c r="BL1284"/>
      <c r="BM1284"/>
      <c r="BN1284"/>
      <c r="BO1284"/>
      <c r="BQ1284" s="66"/>
      <c r="BR1284"/>
      <c r="BS1284"/>
      <c r="BT1284"/>
      <c r="BU1284"/>
    </row>
    <row r="1285" spans="39:73" x14ac:dyDescent="0.25">
      <c r="AM1285" s="66"/>
      <c r="AN1285"/>
      <c r="AO1285"/>
      <c r="AP1285"/>
      <c r="AQ1285"/>
      <c r="AS1285" s="66"/>
      <c r="AT1285"/>
      <c r="AU1285"/>
      <c r="AV1285"/>
      <c r="AW1285"/>
      <c r="BK1285" s="66"/>
      <c r="BL1285"/>
      <c r="BM1285"/>
      <c r="BN1285"/>
      <c r="BO1285"/>
      <c r="BQ1285" s="66"/>
      <c r="BR1285"/>
      <c r="BS1285"/>
      <c r="BT1285"/>
      <c r="BU1285"/>
    </row>
    <row r="1286" spans="39:73" x14ac:dyDescent="0.25">
      <c r="AM1286" s="66"/>
      <c r="AN1286"/>
      <c r="AO1286"/>
      <c r="AP1286"/>
      <c r="AQ1286"/>
      <c r="AS1286" s="66"/>
      <c r="AT1286"/>
      <c r="AU1286"/>
      <c r="AV1286"/>
      <c r="AW1286"/>
      <c r="BK1286" s="66"/>
      <c r="BL1286"/>
      <c r="BM1286"/>
      <c r="BN1286"/>
      <c r="BO1286"/>
      <c r="BQ1286" s="66"/>
      <c r="BR1286"/>
      <c r="BS1286"/>
      <c r="BT1286"/>
      <c r="BU1286"/>
    </row>
    <row r="1287" spans="39:73" x14ac:dyDescent="0.25">
      <c r="AM1287" s="66"/>
      <c r="AN1287"/>
      <c r="AO1287"/>
      <c r="AP1287"/>
      <c r="AQ1287"/>
      <c r="AS1287" s="66"/>
      <c r="AT1287"/>
      <c r="AU1287"/>
      <c r="AV1287"/>
      <c r="AW1287"/>
      <c r="BK1287" s="66"/>
      <c r="BL1287"/>
      <c r="BM1287"/>
      <c r="BN1287"/>
      <c r="BO1287"/>
      <c r="BQ1287" s="66"/>
      <c r="BR1287"/>
      <c r="BS1287"/>
      <c r="BT1287"/>
      <c r="BU1287"/>
    </row>
    <row r="1288" spans="39:73" x14ac:dyDescent="0.25">
      <c r="AM1288" s="66"/>
      <c r="AN1288"/>
      <c r="AO1288"/>
      <c r="AP1288"/>
      <c r="AQ1288"/>
      <c r="AS1288" s="66"/>
      <c r="AT1288"/>
      <c r="AU1288"/>
      <c r="AV1288"/>
      <c r="AW1288"/>
      <c r="BK1288" s="66"/>
      <c r="BL1288"/>
      <c r="BM1288"/>
      <c r="BN1288"/>
      <c r="BO1288"/>
      <c r="BQ1288" s="66"/>
      <c r="BR1288"/>
      <c r="BS1288"/>
      <c r="BT1288"/>
      <c r="BU1288"/>
    </row>
    <row r="1289" spans="39:73" x14ac:dyDescent="0.25">
      <c r="AM1289" s="66"/>
      <c r="AN1289"/>
      <c r="AO1289"/>
      <c r="AP1289"/>
      <c r="AQ1289"/>
      <c r="AS1289" s="66"/>
      <c r="AT1289"/>
      <c r="AU1289"/>
      <c r="AV1289"/>
      <c r="AW1289"/>
      <c r="BK1289" s="66"/>
      <c r="BL1289"/>
      <c r="BM1289"/>
      <c r="BN1289"/>
      <c r="BO1289"/>
      <c r="BQ1289" s="66"/>
      <c r="BR1289"/>
      <c r="BS1289"/>
      <c r="BT1289"/>
      <c r="BU1289"/>
    </row>
    <row r="1290" spans="39:73" x14ac:dyDescent="0.25">
      <c r="AM1290" s="66"/>
      <c r="AN1290"/>
      <c r="AO1290"/>
      <c r="AP1290"/>
      <c r="AQ1290"/>
      <c r="AS1290" s="66"/>
      <c r="AT1290"/>
      <c r="AU1290"/>
      <c r="AV1290"/>
      <c r="AW1290"/>
      <c r="BK1290" s="66"/>
      <c r="BL1290"/>
      <c r="BM1290"/>
      <c r="BN1290"/>
      <c r="BO1290"/>
      <c r="BQ1290" s="66"/>
      <c r="BR1290"/>
      <c r="BS1290"/>
      <c r="BT1290"/>
      <c r="BU1290"/>
    </row>
    <row r="1291" spans="39:73" x14ac:dyDescent="0.25">
      <c r="AM1291" s="66"/>
      <c r="AN1291"/>
      <c r="AO1291"/>
      <c r="AP1291"/>
      <c r="AQ1291"/>
      <c r="AS1291" s="66"/>
      <c r="AT1291"/>
      <c r="AU1291"/>
      <c r="AV1291"/>
      <c r="AW1291"/>
      <c r="BK1291" s="66"/>
      <c r="BL1291"/>
      <c r="BM1291"/>
      <c r="BN1291"/>
      <c r="BO1291"/>
      <c r="BQ1291" s="66"/>
      <c r="BR1291"/>
      <c r="BS1291"/>
      <c r="BT1291"/>
      <c r="BU1291"/>
    </row>
    <row r="1292" spans="39:73" x14ac:dyDescent="0.25">
      <c r="AM1292" s="66"/>
      <c r="AN1292"/>
      <c r="AO1292"/>
      <c r="AP1292"/>
      <c r="AQ1292"/>
      <c r="AS1292" s="66"/>
      <c r="AT1292"/>
      <c r="AU1292"/>
      <c r="AV1292"/>
      <c r="AW1292"/>
      <c r="BK1292" s="66"/>
      <c r="BL1292"/>
      <c r="BM1292"/>
      <c r="BN1292"/>
      <c r="BO1292"/>
      <c r="BQ1292" s="66"/>
      <c r="BR1292"/>
      <c r="BS1292"/>
      <c r="BT1292"/>
      <c r="BU1292"/>
    </row>
    <row r="1293" spans="39:73" x14ac:dyDescent="0.25">
      <c r="AM1293" s="66"/>
      <c r="AN1293"/>
      <c r="AO1293"/>
      <c r="AP1293"/>
      <c r="AQ1293"/>
      <c r="AS1293" s="66"/>
      <c r="AT1293"/>
      <c r="AU1293"/>
      <c r="AV1293"/>
      <c r="AW1293"/>
      <c r="BK1293" s="66"/>
      <c r="BL1293"/>
      <c r="BM1293"/>
      <c r="BN1293"/>
      <c r="BO1293"/>
      <c r="BQ1293" s="66"/>
      <c r="BR1293"/>
      <c r="BS1293"/>
      <c r="BT1293"/>
      <c r="BU1293"/>
    </row>
    <row r="1294" spans="39:73" x14ac:dyDescent="0.25">
      <c r="AM1294" s="66"/>
      <c r="AN1294"/>
      <c r="AO1294"/>
      <c r="AP1294"/>
      <c r="AQ1294"/>
      <c r="AS1294" s="66"/>
      <c r="AT1294"/>
      <c r="AU1294"/>
      <c r="AV1294"/>
      <c r="AW1294"/>
      <c r="BK1294" s="66"/>
      <c r="BL1294"/>
      <c r="BM1294"/>
      <c r="BN1294"/>
      <c r="BO1294"/>
      <c r="BQ1294" s="66"/>
      <c r="BR1294"/>
      <c r="BS1294"/>
      <c r="BT1294"/>
      <c r="BU1294"/>
    </row>
    <row r="1295" spans="39:73" x14ac:dyDescent="0.25">
      <c r="AM1295" s="66"/>
      <c r="AN1295"/>
      <c r="AO1295"/>
      <c r="AP1295"/>
      <c r="AQ1295"/>
      <c r="AS1295" s="66"/>
      <c r="AT1295"/>
      <c r="AU1295"/>
      <c r="AV1295"/>
      <c r="AW1295"/>
      <c r="BK1295" s="66"/>
      <c r="BL1295"/>
      <c r="BM1295"/>
      <c r="BN1295"/>
      <c r="BO1295"/>
      <c r="BQ1295" s="66"/>
      <c r="BR1295"/>
      <c r="BS1295"/>
      <c r="BT1295"/>
      <c r="BU1295"/>
    </row>
    <row r="1296" spans="39:73" x14ac:dyDescent="0.25">
      <c r="AM1296" s="66"/>
      <c r="AN1296"/>
      <c r="AO1296"/>
      <c r="AP1296"/>
      <c r="AQ1296"/>
      <c r="AS1296" s="66"/>
      <c r="AT1296"/>
      <c r="AU1296"/>
      <c r="AV1296"/>
      <c r="AW1296"/>
      <c r="BK1296" s="66"/>
      <c r="BL1296"/>
      <c r="BM1296"/>
      <c r="BN1296"/>
      <c r="BO1296"/>
      <c r="BQ1296" s="66"/>
      <c r="BR1296"/>
      <c r="BS1296"/>
      <c r="BT1296"/>
      <c r="BU1296"/>
    </row>
    <row r="1297" spans="39:73" x14ac:dyDescent="0.25">
      <c r="AM1297" s="66"/>
      <c r="AN1297"/>
      <c r="AO1297"/>
      <c r="AP1297"/>
      <c r="AQ1297"/>
      <c r="AS1297" s="66"/>
      <c r="AT1297"/>
      <c r="AU1297"/>
      <c r="AV1297"/>
      <c r="AW1297"/>
      <c r="BK1297" s="66"/>
      <c r="BL1297"/>
      <c r="BM1297"/>
      <c r="BN1297"/>
      <c r="BO1297"/>
      <c r="BQ1297" s="66"/>
      <c r="BR1297"/>
      <c r="BS1297"/>
      <c r="BT1297"/>
      <c r="BU1297"/>
    </row>
    <row r="1298" spans="39:73" x14ac:dyDescent="0.25">
      <c r="AM1298" s="66"/>
      <c r="AN1298"/>
      <c r="AO1298"/>
      <c r="AP1298"/>
      <c r="AQ1298"/>
      <c r="AS1298" s="66"/>
      <c r="AT1298"/>
      <c r="AU1298"/>
      <c r="AV1298"/>
      <c r="AW1298"/>
      <c r="BK1298" s="66"/>
      <c r="BL1298"/>
      <c r="BM1298"/>
      <c r="BN1298"/>
      <c r="BO1298"/>
      <c r="BQ1298" s="66"/>
      <c r="BR1298"/>
      <c r="BS1298"/>
      <c r="BT1298"/>
      <c r="BU1298"/>
    </row>
    <row r="1299" spans="39:73" x14ac:dyDescent="0.25">
      <c r="AM1299" s="66"/>
      <c r="AN1299"/>
      <c r="AO1299"/>
      <c r="AP1299"/>
      <c r="AQ1299"/>
      <c r="AS1299" s="66"/>
      <c r="AT1299"/>
      <c r="AU1299"/>
      <c r="AV1299"/>
      <c r="AW1299"/>
      <c r="BK1299" s="66"/>
      <c r="BL1299"/>
      <c r="BM1299"/>
      <c r="BN1299"/>
      <c r="BO1299"/>
      <c r="BQ1299" s="66"/>
      <c r="BR1299"/>
      <c r="BS1299"/>
      <c r="BT1299"/>
      <c r="BU1299"/>
    </row>
    <row r="1300" spans="39:73" x14ac:dyDescent="0.25">
      <c r="AM1300" s="66"/>
      <c r="AN1300"/>
      <c r="AO1300"/>
      <c r="AP1300"/>
      <c r="AQ1300"/>
      <c r="AS1300" s="66"/>
      <c r="AT1300"/>
      <c r="AU1300"/>
      <c r="AV1300"/>
      <c r="AW1300"/>
      <c r="BK1300" s="66"/>
      <c r="BL1300"/>
      <c r="BM1300"/>
      <c r="BN1300"/>
      <c r="BO1300"/>
      <c r="BQ1300" s="66"/>
      <c r="BR1300"/>
      <c r="BS1300"/>
      <c r="BT1300"/>
      <c r="BU1300"/>
    </row>
    <row r="1301" spans="39:73" x14ac:dyDescent="0.25">
      <c r="AM1301" s="66"/>
      <c r="AN1301"/>
      <c r="AO1301"/>
      <c r="AP1301"/>
      <c r="AQ1301"/>
      <c r="AS1301" s="66"/>
      <c r="AT1301"/>
      <c r="AU1301"/>
      <c r="AV1301"/>
      <c r="AW1301"/>
      <c r="BK1301" s="66"/>
      <c r="BL1301"/>
      <c r="BM1301"/>
      <c r="BN1301"/>
      <c r="BO1301"/>
      <c r="BQ1301" s="66"/>
      <c r="BR1301"/>
      <c r="BS1301"/>
      <c r="BT1301"/>
      <c r="BU1301"/>
    </row>
    <row r="1302" spans="39:73" x14ac:dyDescent="0.25">
      <c r="AM1302" s="66"/>
      <c r="AN1302"/>
      <c r="AO1302"/>
      <c r="AP1302"/>
      <c r="AQ1302"/>
      <c r="AS1302" s="66"/>
      <c r="AT1302"/>
      <c r="AU1302"/>
      <c r="AV1302"/>
      <c r="AW1302"/>
      <c r="BK1302" s="66"/>
      <c r="BL1302"/>
      <c r="BM1302"/>
      <c r="BN1302"/>
      <c r="BO1302"/>
      <c r="BQ1302" s="66"/>
      <c r="BR1302"/>
      <c r="BS1302"/>
      <c r="BT1302"/>
      <c r="BU1302"/>
    </row>
    <row r="1303" spans="39:73" x14ac:dyDescent="0.25">
      <c r="AM1303" s="66"/>
      <c r="AN1303"/>
      <c r="AO1303"/>
      <c r="AP1303"/>
      <c r="AQ1303"/>
      <c r="AS1303" s="66"/>
      <c r="AT1303"/>
      <c r="AU1303"/>
      <c r="AV1303"/>
      <c r="AW1303"/>
      <c r="BK1303" s="66"/>
      <c r="BL1303"/>
      <c r="BM1303"/>
      <c r="BN1303"/>
      <c r="BO1303"/>
      <c r="BQ1303" s="66"/>
      <c r="BR1303"/>
      <c r="BS1303"/>
      <c r="BT1303"/>
      <c r="BU1303"/>
    </row>
    <row r="1304" spans="39:73" x14ac:dyDescent="0.25">
      <c r="AM1304" s="66"/>
      <c r="AN1304"/>
      <c r="AO1304"/>
      <c r="AP1304"/>
      <c r="AQ1304"/>
      <c r="AS1304" s="66"/>
      <c r="AT1304"/>
      <c r="AU1304"/>
      <c r="AV1304"/>
      <c r="AW1304"/>
      <c r="BK1304" s="66"/>
      <c r="BL1304"/>
      <c r="BM1304"/>
      <c r="BN1304"/>
      <c r="BO1304"/>
      <c r="BQ1304" s="66"/>
      <c r="BR1304"/>
      <c r="BS1304"/>
      <c r="BT1304"/>
      <c r="BU1304"/>
    </row>
    <row r="1305" spans="39:73" x14ac:dyDescent="0.25">
      <c r="AM1305" s="66"/>
      <c r="AN1305"/>
      <c r="AO1305"/>
      <c r="AP1305"/>
      <c r="AQ1305"/>
      <c r="AS1305" s="66"/>
      <c r="AT1305"/>
      <c r="AU1305"/>
      <c r="AV1305"/>
      <c r="AW1305"/>
      <c r="BK1305" s="66"/>
      <c r="BL1305"/>
      <c r="BM1305"/>
      <c r="BN1305"/>
      <c r="BO1305"/>
      <c r="BQ1305" s="66"/>
      <c r="BR1305"/>
      <c r="BS1305"/>
      <c r="BT1305"/>
      <c r="BU1305"/>
    </row>
    <row r="1306" spans="39:73" x14ac:dyDescent="0.25">
      <c r="AM1306" s="66"/>
      <c r="AN1306"/>
      <c r="AO1306"/>
      <c r="AP1306"/>
      <c r="AQ1306"/>
      <c r="AS1306" s="66"/>
      <c r="AT1306"/>
      <c r="AU1306"/>
      <c r="AV1306"/>
      <c r="AW1306"/>
      <c r="BK1306" s="66"/>
      <c r="BL1306"/>
      <c r="BM1306"/>
      <c r="BN1306"/>
      <c r="BO1306"/>
      <c r="BQ1306" s="66"/>
      <c r="BR1306"/>
      <c r="BS1306"/>
      <c r="BT1306"/>
      <c r="BU1306"/>
    </row>
    <row r="1307" spans="39:73" x14ac:dyDescent="0.25">
      <c r="AM1307" s="66"/>
      <c r="AN1307"/>
      <c r="AO1307"/>
      <c r="AP1307"/>
      <c r="AQ1307"/>
      <c r="AS1307" s="66"/>
      <c r="AT1307"/>
      <c r="AU1307"/>
      <c r="AV1307"/>
      <c r="AW1307"/>
      <c r="BK1307" s="66"/>
      <c r="BL1307"/>
      <c r="BM1307"/>
      <c r="BN1307"/>
      <c r="BO1307"/>
      <c r="BQ1307" s="66"/>
      <c r="BR1307"/>
      <c r="BS1307"/>
      <c r="BT1307"/>
      <c r="BU1307"/>
    </row>
    <row r="1308" spans="39:73" x14ac:dyDescent="0.25">
      <c r="AM1308" s="66"/>
      <c r="AN1308"/>
      <c r="AO1308"/>
      <c r="AP1308"/>
      <c r="AQ1308"/>
      <c r="AS1308" s="66"/>
      <c r="AT1308"/>
      <c r="AU1308"/>
      <c r="AV1308"/>
      <c r="AW1308"/>
      <c r="BK1308" s="66"/>
      <c r="BL1308"/>
      <c r="BM1308"/>
      <c r="BN1308"/>
      <c r="BO1308"/>
      <c r="BQ1308" s="66"/>
      <c r="BR1308"/>
      <c r="BS1308"/>
      <c r="BT1308"/>
      <c r="BU1308"/>
    </row>
    <row r="1309" spans="39:73" x14ac:dyDescent="0.25">
      <c r="AM1309" s="66"/>
      <c r="AN1309"/>
      <c r="AO1309"/>
      <c r="AP1309"/>
      <c r="AQ1309"/>
      <c r="AS1309" s="66"/>
      <c r="AT1309"/>
      <c r="AU1309"/>
      <c r="AV1309"/>
      <c r="AW1309"/>
      <c r="BK1309" s="66"/>
      <c r="BL1309"/>
      <c r="BM1309"/>
      <c r="BN1309"/>
      <c r="BO1309"/>
      <c r="BQ1309" s="66"/>
      <c r="BR1309"/>
      <c r="BS1309"/>
      <c r="BT1309"/>
      <c r="BU1309"/>
    </row>
    <row r="1310" spans="39:73" x14ac:dyDescent="0.25">
      <c r="AM1310" s="66"/>
      <c r="AN1310"/>
      <c r="AO1310"/>
      <c r="AP1310"/>
      <c r="AQ1310"/>
      <c r="AS1310" s="66"/>
      <c r="AT1310"/>
      <c r="AU1310"/>
      <c r="AV1310"/>
      <c r="AW1310"/>
      <c r="BK1310" s="66"/>
      <c r="BL1310"/>
      <c r="BM1310"/>
      <c r="BN1310"/>
      <c r="BO1310"/>
      <c r="BQ1310" s="66"/>
      <c r="BR1310"/>
      <c r="BS1310"/>
      <c r="BT1310"/>
      <c r="BU1310"/>
    </row>
    <row r="1311" spans="39:73" x14ac:dyDescent="0.25">
      <c r="AM1311" s="66"/>
      <c r="AN1311"/>
      <c r="AO1311"/>
      <c r="AP1311"/>
      <c r="AQ1311"/>
      <c r="AS1311" s="66"/>
      <c r="AT1311"/>
      <c r="AU1311"/>
      <c r="AV1311"/>
      <c r="AW1311"/>
      <c r="BK1311" s="66"/>
      <c r="BL1311"/>
      <c r="BM1311"/>
      <c r="BN1311"/>
      <c r="BO1311"/>
      <c r="BQ1311" s="66"/>
      <c r="BR1311"/>
      <c r="BS1311"/>
      <c r="BT1311"/>
      <c r="BU1311"/>
    </row>
    <row r="1312" spans="39:73" x14ac:dyDescent="0.25">
      <c r="AM1312" s="66"/>
      <c r="AN1312"/>
      <c r="AO1312"/>
      <c r="AP1312"/>
      <c r="AQ1312"/>
      <c r="AS1312" s="66"/>
      <c r="AT1312"/>
      <c r="AU1312"/>
      <c r="AV1312"/>
      <c r="AW1312"/>
      <c r="BK1312" s="66"/>
      <c r="BL1312"/>
      <c r="BM1312"/>
      <c r="BN1312"/>
      <c r="BO1312"/>
      <c r="BQ1312" s="66"/>
      <c r="BR1312"/>
      <c r="BS1312"/>
      <c r="BT1312"/>
      <c r="BU1312"/>
    </row>
    <row r="1313" spans="39:73" x14ac:dyDescent="0.25">
      <c r="AM1313" s="66"/>
      <c r="AN1313"/>
      <c r="AO1313"/>
      <c r="AP1313"/>
      <c r="AQ1313"/>
      <c r="AS1313" s="66"/>
      <c r="AT1313"/>
      <c r="AU1313"/>
      <c r="AV1313"/>
      <c r="AW1313"/>
      <c r="BK1313" s="66"/>
      <c r="BL1313"/>
      <c r="BM1313"/>
      <c r="BN1313"/>
      <c r="BO1313"/>
      <c r="BQ1313" s="66"/>
      <c r="BR1313"/>
      <c r="BS1313"/>
      <c r="BT1313"/>
      <c r="BU1313"/>
    </row>
    <row r="1314" spans="39:73" x14ac:dyDescent="0.25">
      <c r="AM1314" s="66"/>
      <c r="AN1314"/>
      <c r="AO1314"/>
      <c r="AP1314"/>
      <c r="AQ1314"/>
      <c r="AS1314" s="66"/>
      <c r="AT1314"/>
      <c r="AU1314"/>
      <c r="AV1314"/>
      <c r="AW1314"/>
      <c r="BK1314" s="66"/>
      <c r="BL1314"/>
      <c r="BM1314"/>
      <c r="BN1314"/>
      <c r="BO1314"/>
      <c r="BQ1314" s="66"/>
      <c r="BR1314"/>
      <c r="BS1314"/>
      <c r="BT1314"/>
      <c r="BU1314"/>
    </row>
    <row r="1315" spans="39:73" x14ac:dyDescent="0.25">
      <c r="AM1315" s="66"/>
      <c r="AN1315"/>
      <c r="AO1315"/>
      <c r="AP1315"/>
      <c r="AQ1315"/>
      <c r="AS1315" s="66"/>
      <c r="AT1315"/>
      <c r="AU1315"/>
      <c r="AV1315"/>
      <c r="AW1315"/>
      <c r="BK1315" s="66"/>
      <c r="BL1315"/>
      <c r="BM1315"/>
      <c r="BN1315"/>
      <c r="BO1315"/>
      <c r="BQ1315" s="66"/>
      <c r="BR1315"/>
      <c r="BS1315"/>
      <c r="BT1315"/>
      <c r="BU1315"/>
    </row>
    <row r="1316" spans="39:73" x14ac:dyDescent="0.25">
      <c r="AM1316" s="66"/>
      <c r="AN1316"/>
      <c r="AO1316"/>
      <c r="AP1316"/>
      <c r="AQ1316"/>
      <c r="AS1316" s="66"/>
      <c r="AT1316"/>
      <c r="AU1316"/>
      <c r="AV1316"/>
      <c r="AW1316"/>
      <c r="BK1316" s="66"/>
      <c r="BL1316"/>
      <c r="BM1316"/>
      <c r="BN1316"/>
      <c r="BO1316"/>
      <c r="BQ1316" s="66"/>
      <c r="BR1316"/>
      <c r="BS1316"/>
      <c r="BT1316"/>
      <c r="BU1316"/>
    </row>
    <row r="1317" spans="39:73" x14ac:dyDescent="0.25">
      <c r="AM1317" s="66"/>
      <c r="AN1317"/>
      <c r="AO1317"/>
      <c r="AP1317"/>
      <c r="AQ1317"/>
      <c r="AS1317" s="66"/>
      <c r="AT1317"/>
      <c r="AU1317"/>
      <c r="AV1317"/>
      <c r="AW1317"/>
      <c r="BK1317" s="66"/>
      <c r="BL1317"/>
      <c r="BM1317"/>
      <c r="BN1317"/>
      <c r="BO1317"/>
      <c r="BQ1317" s="66"/>
      <c r="BR1317"/>
      <c r="BS1317"/>
      <c r="BT1317"/>
      <c r="BU1317"/>
    </row>
    <row r="1318" spans="39:73" x14ac:dyDescent="0.25">
      <c r="AM1318" s="66"/>
      <c r="AN1318"/>
      <c r="AO1318"/>
      <c r="AP1318"/>
      <c r="AQ1318"/>
      <c r="AS1318" s="66"/>
      <c r="AT1318"/>
      <c r="AU1318"/>
      <c r="AV1318"/>
      <c r="AW1318"/>
      <c r="BK1318" s="66"/>
      <c r="BL1318"/>
      <c r="BM1318"/>
      <c r="BN1318"/>
      <c r="BO1318"/>
      <c r="BQ1318" s="66"/>
      <c r="BR1318"/>
      <c r="BS1318"/>
      <c r="BT1318"/>
      <c r="BU1318"/>
    </row>
    <row r="1319" spans="39:73" x14ac:dyDescent="0.25">
      <c r="AM1319" s="66"/>
      <c r="AN1319"/>
      <c r="AO1319"/>
      <c r="AP1319"/>
      <c r="AQ1319"/>
      <c r="AS1319" s="66"/>
      <c r="AT1319"/>
      <c r="AU1319"/>
      <c r="AV1319"/>
      <c r="AW1319"/>
      <c r="BK1319" s="66"/>
      <c r="BL1319"/>
      <c r="BM1319"/>
      <c r="BN1319"/>
      <c r="BO1319"/>
      <c r="BQ1319" s="66"/>
      <c r="BR1319"/>
      <c r="BS1319"/>
      <c r="BT1319"/>
      <c r="BU1319"/>
    </row>
    <row r="1320" spans="39:73" x14ac:dyDescent="0.25">
      <c r="AM1320" s="66"/>
      <c r="AN1320"/>
      <c r="AO1320"/>
      <c r="AP1320"/>
      <c r="AQ1320"/>
      <c r="AS1320" s="66"/>
      <c r="AT1320"/>
      <c r="AU1320"/>
      <c r="AV1320"/>
      <c r="AW1320"/>
      <c r="BK1320" s="66"/>
      <c r="BL1320"/>
      <c r="BM1320"/>
      <c r="BN1320"/>
      <c r="BO1320"/>
      <c r="BQ1320" s="66"/>
      <c r="BR1320"/>
      <c r="BS1320"/>
      <c r="BT1320"/>
      <c r="BU1320"/>
    </row>
    <row r="1321" spans="39:73" x14ac:dyDescent="0.25">
      <c r="AM1321" s="66"/>
      <c r="AN1321"/>
      <c r="AO1321"/>
      <c r="AP1321"/>
      <c r="AQ1321"/>
      <c r="AS1321" s="66"/>
      <c r="AT1321"/>
      <c r="AU1321"/>
      <c r="AV1321"/>
      <c r="AW1321"/>
      <c r="BK1321" s="66"/>
      <c r="BL1321"/>
      <c r="BM1321"/>
      <c r="BN1321"/>
      <c r="BO1321"/>
      <c r="BQ1321" s="66"/>
      <c r="BR1321"/>
      <c r="BS1321"/>
      <c r="BT1321"/>
      <c r="BU1321"/>
    </row>
    <row r="1322" spans="39:73" x14ac:dyDescent="0.25">
      <c r="AM1322" s="66"/>
      <c r="AN1322"/>
      <c r="AO1322"/>
      <c r="AP1322"/>
      <c r="AQ1322"/>
      <c r="AS1322" s="66"/>
      <c r="AT1322"/>
      <c r="AU1322"/>
      <c r="AV1322"/>
      <c r="AW1322"/>
      <c r="BK1322" s="66"/>
      <c r="BL1322"/>
      <c r="BM1322"/>
      <c r="BN1322"/>
      <c r="BO1322"/>
      <c r="BQ1322" s="66"/>
      <c r="BR1322"/>
      <c r="BS1322"/>
      <c r="BT1322"/>
      <c r="BU1322"/>
    </row>
    <row r="1323" spans="39:73" x14ac:dyDescent="0.25">
      <c r="AM1323" s="66"/>
      <c r="AN1323"/>
      <c r="AO1323"/>
      <c r="AP1323"/>
      <c r="AQ1323"/>
      <c r="AS1323" s="66"/>
      <c r="AT1323"/>
      <c r="AU1323"/>
      <c r="AV1323"/>
      <c r="AW1323"/>
      <c r="BK1323" s="66"/>
      <c r="BL1323"/>
      <c r="BM1323"/>
      <c r="BN1323"/>
      <c r="BO1323"/>
      <c r="BQ1323" s="66"/>
      <c r="BR1323"/>
      <c r="BS1323"/>
      <c r="BT1323"/>
      <c r="BU1323"/>
    </row>
    <row r="1324" spans="39:73" x14ac:dyDescent="0.25">
      <c r="AM1324" s="66"/>
      <c r="AN1324"/>
      <c r="AO1324"/>
      <c r="AP1324"/>
      <c r="AQ1324"/>
      <c r="AS1324" s="66"/>
      <c r="AT1324"/>
      <c r="AU1324"/>
      <c r="AV1324"/>
      <c r="AW1324"/>
      <c r="BK1324" s="66"/>
      <c r="BL1324"/>
      <c r="BM1324"/>
      <c r="BN1324"/>
      <c r="BO1324"/>
      <c r="BQ1324" s="66"/>
      <c r="BR1324"/>
      <c r="BS1324"/>
      <c r="BT1324"/>
      <c r="BU1324"/>
    </row>
    <row r="1325" spans="39:73" x14ac:dyDescent="0.25">
      <c r="AM1325" s="66"/>
      <c r="AN1325"/>
      <c r="AO1325"/>
      <c r="AP1325"/>
      <c r="AQ1325"/>
      <c r="AS1325" s="66"/>
      <c r="AT1325"/>
      <c r="AU1325"/>
      <c r="AV1325"/>
      <c r="AW1325"/>
      <c r="BK1325" s="66"/>
      <c r="BL1325"/>
      <c r="BM1325"/>
      <c r="BN1325"/>
      <c r="BO1325"/>
      <c r="BQ1325" s="66"/>
      <c r="BR1325"/>
      <c r="BS1325"/>
      <c r="BT1325"/>
      <c r="BU1325"/>
    </row>
    <row r="1326" spans="39:73" x14ac:dyDescent="0.25">
      <c r="AM1326" s="66"/>
      <c r="AN1326"/>
      <c r="AO1326"/>
      <c r="AP1326"/>
      <c r="AQ1326"/>
      <c r="AS1326" s="66"/>
      <c r="AT1326"/>
      <c r="AU1326"/>
      <c r="AV1326"/>
      <c r="AW1326"/>
      <c r="BK1326" s="66"/>
      <c r="BL1326"/>
      <c r="BM1326"/>
      <c r="BN1326"/>
      <c r="BO1326"/>
      <c r="BQ1326" s="66"/>
      <c r="BR1326"/>
      <c r="BS1326"/>
      <c r="BT1326"/>
      <c r="BU1326"/>
    </row>
    <row r="1327" spans="39:73" x14ac:dyDescent="0.25">
      <c r="AM1327" s="66"/>
      <c r="AN1327"/>
      <c r="AO1327"/>
      <c r="AP1327"/>
      <c r="AQ1327"/>
      <c r="AS1327" s="66"/>
      <c r="AT1327"/>
      <c r="AU1327"/>
      <c r="AV1327"/>
      <c r="AW1327"/>
      <c r="BK1327" s="66"/>
      <c r="BL1327"/>
      <c r="BM1327"/>
      <c r="BN1327"/>
      <c r="BO1327"/>
      <c r="BQ1327" s="66"/>
      <c r="BR1327"/>
      <c r="BS1327"/>
      <c r="BT1327"/>
      <c r="BU1327"/>
    </row>
  </sheetData>
  <sortState xmlns:xlrd2="http://schemas.microsoft.com/office/spreadsheetml/2017/richdata2" ref="A2:H161">
    <sortCondition ref="D2:D161"/>
  </sortState>
  <mergeCells count="18">
    <mergeCell ref="BI1:BI2"/>
    <mergeCell ref="AI1:AI2"/>
    <mergeCell ref="AJ1:AJ2"/>
    <mergeCell ref="AK1:AK2"/>
    <mergeCell ref="AZ1:AZ2"/>
    <mergeCell ref="BA1:BA2"/>
    <mergeCell ref="BB1:BB2"/>
    <mergeCell ref="BD1:BD2"/>
    <mergeCell ref="BE1:BE2"/>
    <mergeCell ref="BF1:BF2"/>
    <mergeCell ref="BG1:BG2"/>
    <mergeCell ref="BH1:BH2"/>
    <mergeCell ref="AH1:AH2"/>
    <mergeCell ref="AB1:AB2"/>
    <mergeCell ref="AC1:AC2"/>
    <mergeCell ref="AD1:AD2"/>
    <mergeCell ref="AF1:AF2"/>
    <mergeCell ref="AG1:AG2"/>
  </mergeCells>
  <conditionalFormatting sqref="H2:H161">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869C-8B79-438A-AB8C-6869326A039F}">
  <dimension ref="A1:H161"/>
  <sheetViews>
    <sheetView workbookViewId="0">
      <selection activeCell="G166" sqref="G166"/>
    </sheetView>
  </sheetViews>
  <sheetFormatPr defaultRowHeight="15" x14ac:dyDescent="0.25"/>
  <sheetData>
    <row r="1" spans="1:8" x14ac:dyDescent="0.25">
      <c r="A1" t="s">
        <v>232</v>
      </c>
      <c r="B1" t="s">
        <v>233</v>
      </c>
      <c r="C1" t="s">
        <v>234</v>
      </c>
      <c r="D1" t="s">
        <v>235</v>
      </c>
      <c r="E1" t="s">
        <v>236</v>
      </c>
      <c r="F1" t="s">
        <v>237</v>
      </c>
      <c r="G1" t="s">
        <v>127</v>
      </c>
      <c r="H1" t="s">
        <v>120</v>
      </c>
    </row>
    <row r="2" spans="1:8" x14ac:dyDescent="0.25">
      <c r="A2" t="s">
        <v>238</v>
      </c>
      <c r="B2">
        <v>2025</v>
      </c>
      <c r="C2" t="str">
        <f>A2&amp;"_"&amp;B2</f>
        <v>MilletVT_2025</v>
      </c>
      <c r="D2">
        <v>2</v>
      </c>
      <c r="E2">
        <v>5</v>
      </c>
      <c r="F2">
        <v>1</v>
      </c>
      <c r="G2">
        <v>1</v>
      </c>
    </row>
    <row r="3" spans="1:8" x14ac:dyDescent="0.25">
      <c r="A3" t="s">
        <v>238</v>
      </c>
      <c r="B3">
        <v>2025</v>
      </c>
      <c r="C3" t="str">
        <f t="shared" ref="C3:C66" si="0">A3&amp;"_"&amp;B3</f>
        <v>MilletVT_2025</v>
      </c>
      <c r="D3">
        <v>3</v>
      </c>
      <c r="E3">
        <v>10</v>
      </c>
      <c r="F3">
        <v>1</v>
      </c>
      <c r="G3">
        <v>2</v>
      </c>
    </row>
    <row r="4" spans="1:8" x14ac:dyDescent="0.25">
      <c r="A4" t="s">
        <v>238</v>
      </c>
      <c r="B4">
        <v>2025</v>
      </c>
      <c r="C4" t="str">
        <f t="shared" si="0"/>
        <v>MilletVT_2025</v>
      </c>
      <c r="D4">
        <v>2</v>
      </c>
      <c r="E4">
        <v>7</v>
      </c>
      <c r="F4">
        <v>1</v>
      </c>
      <c r="G4">
        <v>3</v>
      </c>
    </row>
    <row r="5" spans="1:8" x14ac:dyDescent="0.25">
      <c r="A5" t="s">
        <v>238</v>
      </c>
      <c r="B5">
        <v>2025</v>
      </c>
      <c r="C5" t="str">
        <f t="shared" si="0"/>
        <v>MilletVT_2025</v>
      </c>
      <c r="D5">
        <v>4</v>
      </c>
      <c r="E5">
        <v>13</v>
      </c>
      <c r="F5">
        <v>1</v>
      </c>
      <c r="G5">
        <v>7</v>
      </c>
    </row>
    <row r="6" spans="1:8" x14ac:dyDescent="0.25">
      <c r="A6" t="s">
        <v>238</v>
      </c>
      <c r="B6">
        <v>2025</v>
      </c>
      <c r="C6" t="str">
        <f t="shared" si="0"/>
        <v>MilletVT_2025</v>
      </c>
      <c r="D6">
        <v>3</v>
      </c>
      <c r="E6">
        <v>9</v>
      </c>
      <c r="F6">
        <v>1</v>
      </c>
      <c r="G6">
        <v>8</v>
      </c>
    </row>
    <row r="7" spans="1:8" x14ac:dyDescent="0.25">
      <c r="A7" t="s">
        <v>238</v>
      </c>
      <c r="B7">
        <v>2025</v>
      </c>
      <c r="C7" t="str">
        <f t="shared" si="0"/>
        <v>MilletVT_2025</v>
      </c>
      <c r="D7">
        <v>4</v>
      </c>
      <c r="E7">
        <v>16</v>
      </c>
      <c r="F7">
        <v>1</v>
      </c>
      <c r="G7">
        <v>9</v>
      </c>
    </row>
    <row r="8" spans="1:8" x14ac:dyDescent="0.25">
      <c r="A8" t="s">
        <v>238</v>
      </c>
      <c r="B8">
        <v>2025</v>
      </c>
      <c r="C8" t="str">
        <f t="shared" si="0"/>
        <v>MilletVT_2025</v>
      </c>
      <c r="D8">
        <v>4</v>
      </c>
      <c r="E8">
        <v>15</v>
      </c>
      <c r="F8">
        <v>1</v>
      </c>
      <c r="G8">
        <v>10</v>
      </c>
    </row>
    <row r="9" spans="1:8" x14ac:dyDescent="0.25">
      <c r="A9" t="s">
        <v>238</v>
      </c>
      <c r="B9">
        <v>2025</v>
      </c>
      <c r="C9" t="str">
        <f t="shared" si="0"/>
        <v>MilletVT_2025</v>
      </c>
      <c r="D9">
        <v>1</v>
      </c>
      <c r="E9">
        <v>3</v>
      </c>
      <c r="F9">
        <v>1</v>
      </c>
      <c r="G9">
        <v>11</v>
      </c>
    </row>
    <row r="10" spans="1:8" x14ac:dyDescent="0.25">
      <c r="A10" t="s">
        <v>238</v>
      </c>
      <c r="B10">
        <v>2025</v>
      </c>
      <c r="C10" t="str">
        <f t="shared" si="0"/>
        <v>MilletVT_2025</v>
      </c>
      <c r="D10">
        <v>3</v>
      </c>
      <c r="E10">
        <v>12</v>
      </c>
      <c r="F10">
        <v>1</v>
      </c>
      <c r="G10">
        <v>12</v>
      </c>
    </row>
    <row r="11" spans="1:8" x14ac:dyDescent="0.25">
      <c r="A11" t="s">
        <v>238</v>
      </c>
      <c r="B11">
        <v>2025</v>
      </c>
      <c r="C11" t="str">
        <f t="shared" si="0"/>
        <v>MilletVT_2025</v>
      </c>
      <c r="D11">
        <v>4</v>
      </c>
      <c r="E11">
        <v>14</v>
      </c>
      <c r="F11">
        <v>1</v>
      </c>
      <c r="G11">
        <v>13</v>
      </c>
    </row>
    <row r="12" spans="1:8" x14ac:dyDescent="0.25">
      <c r="A12" t="s">
        <v>238</v>
      </c>
      <c r="B12">
        <v>2025</v>
      </c>
      <c r="C12" t="str">
        <f t="shared" si="0"/>
        <v>MilletVT_2025</v>
      </c>
      <c r="D12">
        <v>2</v>
      </c>
      <c r="E12">
        <v>6</v>
      </c>
      <c r="F12">
        <v>1</v>
      </c>
      <c r="G12">
        <v>14</v>
      </c>
    </row>
    <row r="13" spans="1:8" x14ac:dyDescent="0.25">
      <c r="A13" t="s">
        <v>238</v>
      </c>
      <c r="B13">
        <v>2025</v>
      </c>
      <c r="C13" t="str">
        <f t="shared" si="0"/>
        <v>MilletVT_2025</v>
      </c>
      <c r="D13">
        <v>1</v>
      </c>
      <c r="E13">
        <v>1</v>
      </c>
      <c r="F13">
        <v>1</v>
      </c>
      <c r="G13">
        <v>15</v>
      </c>
    </row>
    <row r="14" spans="1:8" x14ac:dyDescent="0.25">
      <c r="A14" t="s">
        <v>238</v>
      </c>
      <c r="B14">
        <v>2025</v>
      </c>
      <c r="C14" t="str">
        <f t="shared" si="0"/>
        <v>MilletVT_2025</v>
      </c>
      <c r="D14">
        <v>2</v>
      </c>
      <c r="E14">
        <v>8</v>
      </c>
      <c r="F14">
        <v>1</v>
      </c>
      <c r="G14">
        <v>16</v>
      </c>
    </row>
    <row r="15" spans="1:8" x14ac:dyDescent="0.25">
      <c r="A15" t="s">
        <v>238</v>
      </c>
      <c r="B15">
        <v>2025</v>
      </c>
      <c r="C15" t="str">
        <f t="shared" si="0"/>
        <v>MilletVT_2025</v>
      </c>
      <c r="D15">
        <v>1</v>
      </c>
      <c r="E15">
        <v>2</v>
      </c>
      <c r="F15">
        <v>1</v>
      </c>
      <c r="G15">
        <v>17</v>
      </c>
    </row>
    <row r="16" spans="1:8" x14ac:dyDescent="0.25">
      <c r="A16" t="s">
        <v>238</v>
      </c>
      <c r="B16">
        <v>2025</v>
      </c>
      <c r="C16" t="str">
        <f t="shared" si="0"/>
        <v>MilletVT_2025</v>
      </c>
      <c r="D16">
        <v>1</v>
      </c>
      <c r="E16">
        <v>4</v>
      </c>
      <c r="F16">
        <v>1</v>
      </c>
      <c r="G16">
        <v>18</v>
      </c>
    </row>
    <row r="17" spans="1:8" x14ac:dyDescent="0.25">
      <c r="A17" t="s">
        <v>238</v>
      </c>
      <c r="B17">
        <v>2025</v>
      </c>
      <c r="C17" t="str">
        <f t="shared" si="0"/>
        <v>MilletVT_2025</v>
      </c>
      <c r="D17">
        <v>3</v>
      </c>
      <c r="E17">
        <v>11</v>
      </c>
      <c r="F17">
        <v>1</v>
      </c>
      <c r="G17">
        <v>19</v>
      </c>
    </row>
    <row r="18" spans="1:8" x14ac:dyDescent="0.25">
      <c r="A18" t="s">
        <v>238</v>
      </c>
      <c r="B18">
        <v>2025</v>
      </c>
      <c r="C18" t="str">
        <f t="shared" si="0"/>
        <v>MilletVT_2025</v>
      </c>
      <c r="D18">
        <v>3</v>
      </c>
      <c r="E18">
        <v>11</v>
      </c>
      <c r="F18">
        <v>2</v>
      </c>
      <c r="G18">
        <v>1</v>
      </c>
      <c r="H18">
        <v>4802.4821270784805</v>
      </c>
    </row>
    <row r="19" spans="1:8" x14ac:dyDescent="0.25">
      <c r="A19" t="s">
        <v>238</v>
      </c>
      <c r="B19">
        <v>2025</v>
      </c>
      <c r="C19" t="str">
        <f t="shared" si="0"/>
        <v>MilletVT_2025</v>
      </c>
      <c r="D19">
        <v>4</v>
      </c>
      <c r="E19">
        <v>16</v>
      </c>
      <c r="F19">
        <v>2</v>
      </c>
      <c r="G19">
        <v>3</v>
      </c>
      <c r="H19">
        <v>3856.909791951161</v>
      </c>
    </row>
    <row r="20" spans="1:8" x14ac:dyDescent="0.25">
      <c r="A20" t="s">
        <v>238</v>
      </c>
      <c r="B20">
        <v>2025</v>
      </c>
      <c r="C20" t="str">
        <f t="shared" si="0"/>
        <v>MilletVT_2025</v>
      </c>
      <c r="D20">
        <v>1</v>
      </c>
      <c r="E20">
        <v>2</v>
      </c>
      <c r="F20">
        <v>2</v>
      </c>
      <c r="G20">
        <v>4</v>
      </c>
      <c r="H20">
        <v>4909.2172062013005</v>
      </c>
    </row>
    <row r="21" spans="1:8" x14ac:dyDescent="0.25">
      <c r="A21" t="s">
        <v>238</v>
      </c>
      <c r="B21">
        <v>2025</v>
      </c>
      <c r="C21" t="str">
        <f t="shared" si="0"/>
        <v>MilletVT_2025</v>
      </c>
      <c r="D21">
        <v>2</v>
      </c>
      <c r="E21">
        <v>6</v>
      </c>
      <c r="F21">
        <v>2</v>
      </c>
      <c r="G21">
        <v>5</v>
      </c>
      <c r="H21">
        <v>4737.3383404289498</v>
      </c>
    </row>
    <row r="22" spans="1:8" x14ac:dyDescent="0.25">
      <c r="A22" t="s">
        <v>238</v>
      </c>
      <c r="B22">
        <v>2025</v>
      </c>
      <c r="C22" t="str">
        <f t="shared" si="0"/>
        <v>MilletVT_2025</v>
      </c>
      <c r="D22">
        <v>4</v>
      </c>
      <c r="E22">
        <v>15</v>
      </c>
      <c r="F22">
        <v>2</v>
      </c>
      <c r="G22">
        <v>6</v>
      </c>
      <c r="H22">
        <v>3552.8135593220336</v>
      </c>
    </row>
    <row r="23" spans="1:8" x14ac:dyDescent="0.25">
      <c r="A23" t="s">
        <v>238</v>
      </c>
      <c r="B23">
        <v>2025</v>
      </c>
      <c r="C23" t="str">
        <f t="shared" si="0"/>
        <v>MilletVT_2025</v>
      </c>
      <c r="D23">
        <v>1</v>
      </c>
      <c r="E23">
        <v>3</v>
      </c>
      <c r="F23">
        <v>2</v>
      </c>
      <c r="G23">
        <v>7</v>
      </c>
      <c r="H23">
        <v>4816.1815406859987</v>
      </c>
    </row>
    <row r="24" spans="1:8" x14ac:dyDescent="0.25">
      <c r="A24" t="s">
        <v>238</v>
      </c>
      <c r="B24">
        <v>2025</v>
      </c>
      <c r="C24" t="str">
        <f t="shared" si="0"/>
        <v>MilletVT_2025</v>
      </c>
      <c r="D24">
        <v>3</v>
      </c>
      <c r="E24">
        <v>10</v>
      </c>
      <c r="F24">
        <v>2</v>
      </c>
      <c r="G24">
        <v>9</v>
      </c>
      <c r="H24">
        <v>4575.3072535946658</v>
      </c>
    </row>
    <row r="25" spans="1:8" x14ac:dyDescent="0.25">
      <c r="A25" t="s">
        <v>238</v>
      </c>
      <c r="B25">
        <v>2025</v>
      </c>
      <c r="C25" t="str">
        <f t="shared" si="0"/>
        <v>MilletVT_2025</v>
      </c>
      <c r="D25">
        <v>3</v>
      </c>
      <c r="E25">
        <v>12</v>
      </c>
      <c r="F25">
        <v>2</v>
      </c>
      <c r="G25">
        <v>10</v>
      </c>
      <c r="H25">
        <v>4459.0690015262262</v>
      </c>
    </row>
    <row r="26" spans="1:8" x14ac:dyDescent="0.25">
      <c r="A26" t="s">
        <v>238</v>
      </c>
      <c r="B26">
        <v>2025</v>
      </c>
      <c r="C26" t="str">
        <f t="shared" si="0"/>
        <v>MilletVT_2025</v>
      </c>
      <c r="D26">
        <v>1</v>
      </c>
      <c r="E26">
        <v>1</v>
      </c>
      <c r="F26">
        <v>2</v>
      </c>
      <c r="G26">
        <v>11</v>
      </c>
      <c r="H26">
        <v>4313.5551449915656</v>
      </c>
    </row>
    <row r="27" spans="1:8" x14ac:dyDescent="0.25">
      <c r="A27" t="s">
        <v>238</v>
      </c>
      <c r="B27">
        <v>2025</v>
      </c>
      <c r="C27" t="str">
        <f t="shared" si="0"/>
        <v>MilletVT_2025</v>
      </c>
      <c r="D27">
        <v>2</v>
      </c>
      <c r="E27">
        <v>7</v>
      </c>
      <c r="F27">
        <v>2</v>
      </c>
      <c r="G27">
        <v>12</v>
      </c>
      <c r="H27">
        <v>4172.1394489517234</v>
      </c>
    </row>
    <row r="28" spans="1:8" x14ac:dyDescent="0.25">
      <c r="A28" t="s">
        <v>238</v>
      </c>
      <c r="B28">
        <v>2025</v>
      </c>
      <c r="C28" t="str">
        <f t="shared" si="0"/>
        <v>MilletVT_2025</v>
      </c>
      <c r="D28">
        <v>3</v>
      </c>
      <c r="E28">
        <v>9</v>
      </c>
      <c r="F28">
        <v>2</v>
      </c>
      <c r="G28">
        <v>13</v>
      </c>
      <c r="H28">
        <v>4216.1456341874846</v>
      </c>
    </row>
    <row r="29" spans="1:8" x14ac:dyDescent="0.25">
      <c r="A29" t="s">
        <v>238</v>
      </c>
      <c r="B29">
        <v>2025</v>
      </c>
      <c r="C29" t="str">
        <f t="shared" si="0"/>
        <v>MilletVT_2025</v>
      </c>
      <c r="D29">
        <v>4</v>
      </c>
      <c r="E29">
        <v>14</v>
      </c>
      <c r="F29">
        <v>2</v>
      </c>
      <c r="G29">
        <v>14</v>
      </c>
      <c r="H29">
        <v>3859.3220338983051</v>
      </c>
    </row>
    <row r="30" spans="1:8" x14ac:dyDescent="0.25">
      <c r="A30" t="s">
        <v>238</v>
      </c>
      <c r="B30">
        <v>2025</v>
      </c>
      <c r="C30" t="str">
        <f t="shared" si="0"/>
        <v>MilletVT_2025</v>
      </c>
      <c r="D30">
        <v>2</v>
      </c>
      <c r="E30">
        <v>5</v>
      </c>
      <c r="F30">
        <v>2</v>
      </c>
      <c r="G30">
        <v>15</v>
      </c>
      <c r="H30">
        <v>5308.6022973732834</v>
      </c>
    </row>
    <row r="31" spans="1:8" x14ac:dyDescent="0.25">
      <c r="A31" t="s">
        <v>238</v>
      </c>
      <c r="B31">
        <v>2025</v>
      </c>
      <c r="C31" t="str">
        <f t="shared" si="0"/>
        <v>MilletVT_2025</v>
      </c>
      <c r="D31">
        <v>4</v>
      </c>
      <c r="E31">
        <v>13</v>
      </c>
      <c r="F31">
        <v>2</v>
      </c>
      <c r="G31">
        <v>18</v>
      </c>
      <c r="H31">
        <v>4501.6888103462124</v>
      </c>
    </row>
    <row r="32" spans="1:8" x14ac:dyDescent="0.25">
      <c r="A32" t="s">
        <v>238</v>
      </c>
      <c r="B32">
        <v>2025</v>
      </c>
      <c r="C32" t="str">
        <f t="shared" si="0"/>
        <v>MilletVT_2025</v>
      </c>
      <c r="D32">
        <v>2</v>
      </c>
      <c r="E32">
        <v>8</v>
      </c>
      <c r="F32">
        <v>2</v>
      </c>
      <c r="G32">
        <v>19</v>
      </c>
      <c r="H32">
        <v>5245.168286609367</v>
      </c>
    </row>
    <row r="33" spans="1:8" x14ac:dyDescent="0.25">
      <c r="A33" t="s">
        <v>238</v>
      </c>
      <c r="B33">
        <v>2025</v>
      </c>
      <c r="C33" t="str">
        <f t="shared" si="0"/>
        <v>MilletVT_2025</v>
      </c>
      <c r="D33">
        <v>1</v>
      </c>
      <c r="E33">
        <v>4</v>
      </c>
      <c r="F33">
        <v>2</v>
      </c>
      <c r="G33">
        <v>20</v>
      </c>
      <c r="H33">
        <v>4392.2949634508786</v>
      </c>
    </row>
    <row r="34" spans="1:8" x14ac:dyDescent="0.25">
      <c r="A34" t="s">
        <v>238</v>
      </c>
      <c r="B34">
        <v>2025</v>
      </c>
      <c r="C34" t="str">
        <f t="shared" si="0"/>
        <v>MilletVT_2025</v>
      </c>
      <c r="D34">
        <v>4</v>
      </c>
      <c r="E34">
        <v>15</v>
      </c>
      <c r="F34">
        <v>3</v>
      </c>
      <c r="G34">
        <v>1</v>
      </c>
      <c r="H34">
        <v>4356</v>
      </c>
    </row>
    <row r="35" spans="1:8" x14ac:dyDescent="0.25">
      <c r="A35" t="s">
        <v>238</v>
      </c>
      <c r="B35">
        <v>2025</v>
      </c>
      <c r="C35" t="str">
        <f t="shared" si="0"/>
        <v>MilletVT_2025</v>
      </c>
      <c r="D35">
        <v>4</v>
      </c>
      <c r="E35">
        <v>16</v>
      </c>
      <c r="F35">
        <v>3</v>
      </c>
      <c r="G35">
        <v>2</v>
      </c>
      <c r="H35">
        <v>3947.9122821110127</v>
      </c>
    </row>
    <row r="36" spans="1:8" x14ac:dyDescent="0.25">
      <c r="A36" t="s">
        <v>238</v>
      </c>
      <c r="B36">
        <v>2025</v>
      </c>
      <c r="C36" t="str">
        <f t="shared" si="0"/>
        <v>MilletVT_2025</v>
      </c>
      <c r="D36">
        <v>2</v>
      </c>
      <c r="E36">
        <v>5</v>
      </c>
      <c r="F36">
        <v>3</v>
      </c>
      <c r="G36">
        <v>4</v>
      </c>
      <c r="H36">
        <v>5080.9502771306934</v>
      </c>
    </row>
    <row r="37" spans="1:8" x14ac:dyDescent="0.25">
      <c r="A37" t="s">
        <v>238</v>
      </c>
      <c r="B37">
        <v>2025</v>
      </c>
      <c r="C37" t="str">
        <f t="shared" si="0"/>
        <v>MilletVT_2025</v>
      </c>
      <c r="D37">
        <v>3</v>
      </c>
      <c r="E37">
        <v>12</v>
      </c>
      <c r="F37">
        <v>3</v>
      </c>
      <c r="G37">
        <v>5</v>
      </c>
      <c r="H37">
        <v>4902.4549763033174</v>
      </c>
    </row>
    <row r="38" spans="1:8" x14ac:dyDescent="0.25">
      <c r="A38" t="s">
        <v>238</v>
      </c>
      <c r="B38">
        <v>2025</v>
      </c>
      <c r="C38" t="str">
        <f t="shared" si="0"/>
        <v>MilletVT_2025</v>
      </c>
      <c r="D38">
        <v>3</v>
      </c>
      <c r="E38">
        <v>9</v>
      </c>
      <c r="F38">
        <v>3</v>
      </c>
      <c r="G38">
        <v>7</v>
      </c>
      <c r="H38">
        <v>4720.6938709936539</v>
      </c>
    </row>
    <row r="39" spans="1:8" x14ac:dyDescent="0.25">
      <c r="A39" t="s">
        <v>238</v>
      </c>
      <c r="B39">
        <v>2025</v>
      </c>
      <c r="C39" t="str">
        <f t="shared" si="0"/>
        <v>MilletVT_2025</v>
      </c>
      <c r="D39">
        <v>2</v>
      </c>
      <c r="E39">
        <v>7</v>
      </c>
      <c r="F39">
        <v>3</v>
      </c>
      <c r="G39">
        <v>8</v>
      </c>
      <c r="H39">
        <v>4492.1458751706959</v>
      </c>
    </row>
    <row r="40" spans="1:8" x14ac:dyDescent="0.25">
      <c r="A40" t="s">
        <v>238</v>
      </c>
      <c r="B40">
        <v>2025</v>
      </c>
      <c r="C40" t="str">
        <f t="shared" si="0"/>
        <v>MilletVT_2025</v>
      </c>
      <c r="D40">
        <v>2</v>
      </c>
      <c r="E40">
        <v>8</v>
      </c>
      <c r="F40">
        <v>3</v>
      </c>
      <c r="G40">
        <v>9</v>
      </c>
      <c r="H40">
        <v>4217.9773475781185</v>
      </c>
    </row>
    <row r="41" spans="1:8" x14ac:dyDescent="0.25">
      <c r="A41" t="s">
        <v>238</v>
      </c>
      <c r="B41">
        <v>2025</v>
      </c>
      <c r="C41" t="str">
        <f t="shared" si="0"/>
        <v>MilletVT_2025</v>
      </c>
      <c r="D41">
        <v>2</v>
      </c>
      <c r="E41">
        <v>6</v>
      </c>
      <c r="F41">
        <v>3</v>
      </c>
      <c r="G41">
        <v>10</v>
      </c>
      <c r="H41">
        <v>5035.329745361073</v>
      </c>
    </row>
    <row r="42" spans="1:8" x14ac:dyDescent="0.25">
      <c r="A42" t="s">
        <v>238</v>
      </c>
      <c r="B42">
        <v>2025</v>
      </c>
      <c r="C42" t="str">
        <f t="shared" si="0"/>
        <v>MilletVT_2025</v>
      </c>
      <c r="D42">
        <v>4</v>
      </c>
      <c r="E42">
        <v>13</v>
      </c>
      <c r="F42">
        <v>3</v>
      </c>
      <c r="G42">
        <v>11</v>
      </c>
      <c r="H42">
        <v>4462.3719174230864</v>
      </c>
    </row>
    <row r="43" spans="1:8" x14ac:dyDescent="0.25">
      <c r="A43" t="s">
        <v>238</v>
      </c>
      <c r="B43">
        <v>2025</v>
      </c>
      <c r="C43" t="str">
        <f t="shared" si="0"/>
        <v>MilletVT_2025</v>
      </c>
      <c r="D43">
        <v>1</v>
      </c>
      <c r="E43">
        <v>3</v>
      </c>
      <c r="F43">
        <v>3</v>
      </c>
      <c r="G43">
        <v>12</v>
      </c>
      <c r="H43">
        <v>4000.5495220499633</v>
      </c>
    </row>
    <row r="44" spans="1:8" x14ac:dyDescent="0.25">
      <c r="A44" t="s">
        <v>238</v>
      </c>
      <c r="B44">
        <v>2025</v>
      </c>
      <c r="C44" t="str">
        <f t="shared" si="0"/>
        <v>MilletVT_2025</v>
      </c>
      <c r="D44">
        <v>1</v>
      </c>
      <c r="E44">
        <v>2</v>
      </c>
      <c r="F44">
        <v>3</v>
      </c>
      <c r="G44">
        <v>13</v>
      </c>
      <c r="H44">
        <v>3710.2931962406619</v>
      </c>
    </row>
    <row r="45" spans="1:8" x14ac:dyDescent="0.25">
      <c r="A45" t="s">
        <v>238</v>
      </c>
      <c r="B45">
        <v>2025</v>
      </c>
      <c r="C45" t="str">
        <f t="shared" si="0"/>
        <v>MilletVT_2025</v>
      </c>
      <c r="D45">
        <v>1</v>
      </c>
      <c r="E45">
        <v>4</v>
      </c>
      <c r="F45">
        <v>3</v>
      </c>
      <c r="G45">
        <v>14</v>
      </c>
      <c r="H45">
        <v>4429.9100329343719</v>
      </c>
    </row>
    <row r="46" spans="1:8" x14ac:dyDescent="0.25">
      <c r="A46" t="s">
        <v>238</v>
      </c>
      <c r="B46">
        <v>2025</v>
      </c>
      <c r="C46" t="str">
        <f t="shared" si="0"/>
        <v>MilletVT_2025</v>
      </c>
      <c r="D46">
        <v>1</v>
      </c>
      <c r="E46">
        <v>1</v>
      </c>
      <c r="F46">
        <v>3</v>
      </c>
      <c r="G46">
        <v>16</v>
      </c>
      <c r="H46">
        <v>4867.0400835408464</v>
      </c>
    </row>
    <row r="47" spans="1:8" x14ac:dyDescent="0.25">
      <c r="A47" t="s">
        <v>238</v>
      </c>
      <c r="B47">
        <v>2025</v>
      </c>
      <c r="C47" t="str">
        <f t="shared" si="0"/>
        <v>MilletVT_2025</v>
      </c>
      <c r="D47">
        <v>3</v>
      </c>
      <c r="E47">
        <v>11</v>
      </c>
      <c r="F47">
        <v>3</v>
      </c>
      <c r="G47">
        <v>17</v>
      </c>
      <c r="H47">
        <v>4395.9795967547598</v>
      </c>
    </row>
    <row r="48" spans="1:8" x14ac:dyDescent="0.25">
      <c r="A48" t="s">
        <v>238</v>
      </c>
      <c r="B48">
        <v>2025</v>
      </c>
      <c r="C48" t="str">
        <f t="shared" si="0"/>
        <v>MilletVT_2025</v>
      </c>
      <c r="D48">
        <v>3</v>
      </c>
      <c r="E48">
        <v>10</v>
      </c>
      <c r="F48">
        <v>3</v>
      </c>
      <c r="G48">
        <v>18</v>
      </c>
      <c r="H48">
        <v>5144.0131737488955</v>
      </c>
    </row>
    <row r="49" spans="1:8" x14ac:dyDescent="0.25">
      <c r="A49" t="s">
        <v>238</v>
      </c>
      <c r="B49">
        <v>2025</v>
      </c>
      <c r="C49" t="str">
        <f t="shared" si="0"/>
        <v>MilletVT_2025</v>
      </c>
      <c r="D49">
        <v>4</v>
      </c>
      <c r="E49">
        <v>14</v>
      </c>
      <c r="F49">
        <v>3</v>
      </c>
      <c r="G49">
        <v>20</v>
      </c>
      <c r="H49">
        <v>4299.0922965700047</v>
      </c>
    </row>
    <row r="50" spans="1:8" x14ac:dyDescent="0.25">
      <c r="A50" t="s">
        <v>238</v>
      </c>
      <c r="B50">
        <v>2025</v>
      </c>
      <c r="C50" t="str">
        <f t="shared" si="0"/>
        <v>MilletVT_2025</v>
      </c>
      <c r="D50">
        <v>2</v>
      </c>
      <c r="E50">
        <v>6</v>
      </c>
      <c r="F50">
        <v>4</v>
      </c>
      <c r="G50">
        <v>1</v>
      </c>
      <c r="H50">
        <v>5165.8983050847455</v>
      </c>
    </row>
    <row r="51" spans="1:8" x14ac:dyDescent="0.25">
      <c r="A51" t="s">
        <v>238</v>
      </c>
      <c r="B51">
        <v>2025</v>
      </c>
      <c r="C51" t="str">
        <f t="shared" si="0"/>
        <v>MilletVT_2025</v>
      </c>
      <c r="D51">
        <v>2</v>
      </c>
      <c r="E51">
        <v>7</v>
      </c>
      <c r="F51">
        <v>4</v>
      </c>
      <c r="G51">
        <v>2</v>
      </c>
      <c r="H51">
        <v>4528.1863603502279</v>
      </c>
    </row>
    <row r="52" spans="1:8" x14ac:dyDescent="0.25">
      <c r="A52" t="s">
        <v>238</v>
      </c>
      <c r="B52">
        <v>2025</v>
      </c>
      <c r="C52" t="str">
        <f t="shared" si="0"/>
        <v>MilletVT_2025</v>
      </c>
      <c r="D52">
        <v>1</v>
      </c>
      <c r="E52">
        <v>4</v>
      </c>
      <c r="F52">
        <v>4</v>
      </c>
      <c r="G52">
        <v>3</v>
      </c>
      <c r="H52">
        <v>4917.9914049321224</v>
      </c>
    </row>
    <row r="53" spans="1:8" x14ac:dyDescent="0.25">
      <c r="A53" t="s">
        <v>238</v>
      </c>
      <c r="B53">
        <v>2025</v>
      </c>
      <c r="C53" t="str">
        <f t="shared" si="0"/>
        <v>MilletVT_2025</v>
      </c>
      <c r="D53">
        <v>4</v>
      </c>
      <c r="E53">
        <v>13</v>
      </c>
      <c r="F53">
        <v>4</v>
      </c>
      <c r="G53">
        <v>4</v>
      </c>
      <c r="H53">
        <v>5001.022893405092</v>
      </c>
    </row>
    <row r="54" spans="1:8" x14ac:dyDescent="0.25">
      <c r="A54" t="s">
        <v>238</v>
      </c>
      <c r="B54">
        <v>2025</v>
      </c>
      <c r="C54" t="str">
        <f t="shared" si="0"/>
        <v>MilletVT_2025</v>
      </c>
      <c r="D54">
        <v>1</v>
      </c>
      <c r="E54">
        <v>2</v>
      </c>
      <c r="F54">
        <v>4</v>
      </c>
      <c r="G54">
        <v>5</v>
      </c>
      <c r="H54">
        <v>4587.972849224836</v>
      </c>
    </row>
    <row r="55" spans="1:8" x14ac:dyDescent="0.25">
      <c r="A55" t="s">
        <v>238</v>
      </c>
      <c r="B55">
        <v>2025</v>
      </c>
      <c r="C55" t="str">
        <f t="shared" si="0"/>
        <v>MilletVT_2025</v>
      </c>
      <c r="D55">
        <v>3</v>
      </c>
      <c r="E55">
        <v>9</v>
      </c>
      <c r="F55">
        <v>4</v>
      </c>
      <c r="G55">
        <v>6</v>
      </c>
      <c r="H55">
        <v>5297.0765523335203</v>
      </c>
    </row>
    <row r="56" spans="1:8" x14ac:dyDescent="0.25">
      <c r="A56" t="s">
        <v>238</v>
      </c>
      <c r="B56">
        <v>2025</v>
      </c>
      <c r="C56" t="str">
        <f t="shared" si="0"/>
        <v>MilletVT_2025</v>
      </c>
      <c r="D56">
        <v>2</v>
      </c>
      <c r="E56">
        <v>8</v>
      </c>
      <c r="F56">
        <v>4</v>
      </c>
      <c r="G56">
        <v>7</v>
      </c>
      <c r="H56">
        <v>4639.4198730821745</v>
      </c>
    </row>
    <row r="57" spans="1:8" x14ac:dyDescent="0.25">
      <c r="A57" t="s">
        <v>238</v>
      </c>
      <c r="B57">
        <v>2025</v>
      </c>
      <c r="C57" t="str">
        <f t="shared" si="0"/>
        <v>MilletVT_2025</v>
      </c>
      <c r="D57">
        <v>1</v>
      </c>
      <c r="E57">
        <v>3</v>
      </c>
      <c r="F57">
        <v>4</v>
      </c>
      <c r="G57">
        <v>8</v>
      </c>
      <c r="H57">
        <v>4382.8474576271183</v>
      </c>
    </row>
    <row r="58" spans="1:8" x14ac:dyDescent="0.25">
      <c r="A58" t="s">
        <v>238</v>
      </c>
      <c r="B58">
        <v>2025</v>
      </c>
      <c r="C58" t="str">
        <f t="shared" si="0"/>
        <v>MilletVT_2025</v>
      </c>
      <c r="D58">
        <v>1</v>
      </c>
      <c r="E58">
        <v>1</v>
      </c>
      <c r="F58">
        <v>4</v>
      </c>
      <c r="G58">
        <v>10</v>
      </c>
      <c r="H58">
        <v>5266.5073499879509</v>
      </c>
    </row>
    <row r="59" spans="1:8" x14ac:dyDescent="0.25">
      <c r="A59" t="s">
        <v>238</v>
      </c>
      <c r="B59">
        <v>2025</v>
      </c>
      <c r="C59" t="str">
        <f t="shared" si="0"/>
        <v>MilletVT_2025</v>
      </c>
      <c r="D59">
        <v>3</v>
      </c>
      <c r="E59">
        <v>12</v>
      </c>
      <c r="F59">
        <v>4</v>
      </c>
      <c r="G59">
        <v>11</v>
      </c>
      <c r="H59">
        <v>4235.1254719254557</v>
      </c>
    </row>
    <row r="60" spans="1:8" x14ac:dyDescent="0.25">
      <c r="A60" t="s">
        <v>238</v>
      </c>
      <c r="B60">
        <v>2025</v>
      </c>
      <c r="C60" t="str">
        <f t="shared" si="0"/>
        <v>MilletVT_2025</v>
      </c>
      <c r="D60">
        <v>3</v>
      </c>
      <c r="E60">
        <v>11</v>
      </c>
      <c r="F60">
        <v>4</v>
      </c>
      <c r="G60">
        <v>14</v>
      </c>
      <c r="H60">
        <v>4005.4349746967628</v>
      </c>
    </row>
    <row r="61" spans="1:8" x14ac:dyDescent="0.25">
      <c r="A61" t="s">
        <v>238</v>
      </c>
      <c r="B61">
        <v>2025</v>
      </c>
      <c r="C61" t="str">
        <f t="shared" si="0"/>
        <v>MilletVT_2025</v>
      </c>
      <c r="D61">
        <v>3</v>
      </c>
      <c r="E61">
        <v>10</v>
      </c>
      <c r="F61">
        <v>4</v>
      </c>
      <c r="G61">
        <v>15</v>
      </c>
      <c r="H61">
        <v>5107.408064904811</v>
      </c>
    </row>
    <row r="62" spans="1:8" x14ac:dyDescent="0.25">
      <c r="A62" t="s">
        <v>238</v>
      </c>
      <c r="B62">
        <v>2025</v>
      </c>
      <c r="C62" t="str">
        <f t="shared" si="0"/>
        <v>MilletVT_2025</v>
      </c>
      <c r="D62">
        <v>4</v>
      </c>
      <c r="E62">
        <v>16</v>
      </c>
      <c r="F62">
        <v>4</v>
      </c>
      <c r="G62">
        <v>16</v>
      </c>
      <c r="H62">
        <v>4514.0097999839345</v>
      </c>
    </row>
    <row r="63" spans="1:8" x14ac:dyDescent="0.25">
      <c r="A63" t="s">
        <v>238</v>
      </c>
      <c r="B63">
        <v>2025</v>
      </c>
      <c r="C63" t="str">
        <f t="shared" si="0"/>
        <v>MilletVT_2025</v>
      </c>
      <c r="D63">
        <v>4</v>
      </c>
      <c r="E63">
        <v>14</v>
      </c>
      <c r="F63">
        <v>4</v>
      </c>
      <c r="G63">
        <v>17</v>
      </c>
      <c r="H63">
        <v>4228.7714675877578</v>
      </c>
    </row>
    <row r="64" spans="1:8" x14ac:dyDescent="0.25">
      <c r="A64" t="s">
        <v>238</v>
      </c>
      <c r="B64">
        <v>2025</v>
      </c>
      <c r="C64" t="str">
        <f t="shared" si="0"/>
        <v>MilletVT_2025</v>
      </c>
      <c r="D64">
        <v>4</v>
      </c>
      <c r="E64">
        <v>15</v>
      </c>
      <c r="F64">
        <v>4</v>
      </c>
      <c r="G64">
        <v>19</v>
      </c>
      <c r="H64">
        <v>4800.324363402683</v>
      </c>
    </row>
    <row r="65" spans="1:8" x14ac:dyDescent="0.25">
      <c r="A65" t="s">
        <v>238</v>
      </c>
      <c r="B65">
        <v>2025</v>
      </c>
      <c r="C65" t="str">
        <f t="shared" si="0"/>
        <v>MilletVT_2025</v>
      </c>
      <c r="D65">
        <v>2</v>
      </c>
      <c r="E65">
        <v>5</v>
      </c>
      <c r="F65">
        <v>4</v>
      </c>
      <c r="G65">
        <v>20</v>
      </c>
      <c r="H65">
        <v>4382.2033095027709</v>
      </c>
    </row>
    <row r="66" spans="1:8" x14ac:dyDescent="0.25">
      <c r="A66" t="s">
        <v>238</v>
      </c>
      <c r="B66">
        <v>2025</v>
      </c>
      <c r="C66" t="str">
        <f t="shared" si="0"/>
        <v>MilletVT_2025</v>
      </c>
      <c r="D66">
        <v>1</v>
      </c>
      <c r="E66">
        <v>4</v>
      </c>
      <c r="F66">
        <v>5</v>
      </c>
      <c r="G66">
        <v>2</v>
      </c>
      <c r="H66">
        <v>4786.3598682625106</v>
      </c>
    </row>
    <row r="67" spans="1:8" x14ac:dyDescent="0.25">
      <c r="A67" t="s">
        <v>238</v>
      </c>
      <c r="B67">
        <v>2025</v>
      </c>
      <c r="C67" t="str">
        <f t="shared" ref="C67:C130" si="1">A67&amp;"_"&amp;B67</f>
        <v>MilletVT_2025</v>
      </c>
      <c r="D67">
        <v>3</v>
      </c>
      <c r="E67">
        <v>12</v>
      </c>
      <c r="F67">
        <v>5</v>
      </c>
      <c r="G67">
        <v>3</v>
      </c>
      <c r="H67">
        <v>5095.529761426621</v>
      </c>
    </row>
    <row r="68" spans="1:8" x14ac:dyDescent="0.25">
      <c r="A68" t="s">
        <v>238</v>
      </c>
      <c r="B68">
        <v>2025</v>
      </c>
      <c r="C68" t="str">
        <f t="shared" si="1"/>
        <v>MilletVT_2025</v>
      </c>
      <c r="D68">
        <v>3</v>
      </c>
      <c r="E68">
        <v>9</v>
      </c>
      <c r="F68">
        <v>5</v>
      </c>
      <c r="G68">
        <v>4</v>
      </c>
      <c r="H68">
        <v>4669.8750903687051</v>
      </c>
    </row>
    <row r="69" spans="1:8" x14ac:dyDescent="0.25">
      <c r="A69" t="s">
        <v>238</v>
      </c>
      <c r="B69">
        <v>2025</v>
      </c>
      <c r="C69" t="str">
        <f t="shared" si="1"/>
        <v>MilletVT_2025</v>
      </c>
      <c r="D69">
        <v>4</v>
      </c>
      <c r="E69">
        <v>15</v>
      </c>
      <c r="F69">
        <v>5</v>
      </c>
      <c r="G69">
        <v>5</v>
      </c>
      <c r="H69">
        <v>4926.8530805687205</v>
      </c>
    </row>
    <row r="70" spans="1:8" x14ac:dyDescent="0.25">
      <c r="A70" t="s">
        <v>238</v>
      </c>
      <c r="B70">
        <v>2025</v>
      </c>
      <c r="C70" t="str">
        <f t="shared" si="1"/>
        <v>MilletVT_2025</v>
      </c>
      <c r="D70">
        <v>1</v>
      </c>
      <c r="E70">
        <v>2</v>
      </c>
      <c r="F70">
        <v>5</v>
      </c>
      <c r="G70">
        <v>6</v>
      </c>
      <c r="H70">
        <v>4701.4224435697643</v>
      </c>
    </row>
    <row r="71" spans="1:8" x14ac:dyDescent="0.25">
      <c r="A71" t="s">
        <v>238</v>
      </c>
      <c r="B71">
        <v>2025</v>
      </c>
      <c r="C71" t="str">
        <f t="shared" si="1"/>
        <v>MilletVT_2025</v>
      </c>
      <c r="D71">
        <v>2</v>
      </c>
      <c r="E71">
        <v>8</v>
      </c>
      <c r="F71">
        <v>5</v>
      </c>
      <c r="G71">
        <v>6</v>
      </c>
      <c r="H71">
        <v>4489.831713390633</v>
      </c>
    </row>
    <row r="72" spans="1:8" x14ac:dyDescent="0.25">
      <c r="A72" t="s">
        <v>238</v>
      </c>
      <c r="B72">
        <v>2025</v>
      </c>
      <c r="C72" t="str">
        <f t="shared" si="1"/>
        <v>MilletVT_2025</v>
      </c>
      <c r="D72">
        <v>4</v>
      </c>
      <c r="E72">
        <v>16</v>
      </c>
      <c r="F72">
        <v>5</v>
      </c>
      <c r="G72">
        <v>8</v>
      </c>
      <c r="H72">
        <v>4385.0423327174876</v>
      </c>
    </row>
    <row r="73" spans="1:8" x14ac:dyDescent="0.25">
      <c r="A73" t="s">
        <v>238</v>
      </c>
      <c r="B73">
        <v>2025</v>
      </c>
      <c r="C73" t="str">
        <f t="shared" si="1"/>
        <v>MilletVT_2025</v>
      </c>
      <c r="D73">
        <v>1</v>
      </c>
      <c r="E73">
        <v>3</v>
      </c>
      <c r="F73">
        <v>5</v>
      </c>
      <c r="G73">
        <v>9</v>
      </c>
      <c r="H73">
        <v>3778.1673226765201</v>
      </c>
    </row>
    <row r="74" spans="1:8" x14ac:dyDescent="0.25">
      <c r="A74" t="s">
        <v>238</v>
      </c>
      <c r="B74">
        <v>2025</v>
      </c>
      <c r="C74" t="str">
        <f t="shared" si="1"/>
        <v>MilletVT_2025</v>
      </c>
      <c r="D74">
        <v>4</v>
      </c>
      <c r="E74">
        <v>13</v>
      </c>
      <c r="F74">
        <v>5</v>
      </c>
      <c r="G74">
        <v>12</v>
      </c>
      <c r="H74">
        <v>4284.3802715077518</v>
      </c>
    </row>
    <row r="75" spans="1:8" x14ac:dyDescent="0.25">
      <c r="A75" t="s">
        <v>238</v>
      </c>
      <c r="B75">
        <v>2025</v>
      </c>
      <c r="C75" t="str">
        <f t="shared" si="1"/>
        <v>MilletVT_2025</v>
      </c>
      <c r="D75">
        <v>2</v>
      </c>
      <c r="E75">
        <v>7</v>
      </c>
      <c r="F75">
        <v>5</v>
      </c>
      <c r="G75">
        <v>13</v>
      </c>
      <c r="H75">
        <v>4249.7765282351993</v>
      </c>
    </row>
    <row r="76" spans="1:8" x14ac:dyDescent="0.25">
      <c r="A76" t="s">
        <v>238</v>
      </c>
      <c r="B76">
        <v>2025</v>
      </c>
      <c r="C76" t="str">
        <f t="shared" si="1"/>
        <v>MilletVT_2025</v>
      </c>
      <c r="D76">
        <v>4</v>
      </c>
      <c r="E76">
        <v>14</v>
      </c>
      <c r="F76">
        <v>5</v>
      </c>
      <c r="G76">
        <v>15</v>
      </c>
      <c r="H76">
        <v>4645.9461804160974</v>
      </c>
    </row>
    <row r="77" spans="1:8" x14ac:dyDescent="0.25">
      <c r="A77" t="s">
        <v>238</v>
      </c>
      <c r="B77">
        <v>2025</v>
      </c>
      <c r="C77" t="str">
        <f t="shared" si="1"/>
        <v>MilletVT_2025</v>
      </c>
      <c r="D77">
        <v>3</v>
      </c>
      <c r="E77">
        <v>11</v>
      </c>
      <c r="F77">
        <v>5</v>
      </c>
      <c r="G77">
        <v>16</v>
      </c>
      <c r="H77">
        <v>4557.8383805928188</v>
      </c>
    </row>
    <row r="78" spans="1:8" x14ac:dyDescent="0.25">
      <c r="A78" t="s">
        <v>238</v>
      </c>
      <c r="B78">
        <v>2025</v>
      </c>
      <c r="C78" t="str">
        <f t="shared" si="1"/>
        <v>MilletVT_2025</v>
      </c>
      <c r="D78">
        <v>2</v>
      </c>
      <c r="E78">
        <v>6</v>
      </c>
      <c r="F78">
        <v>5</v>
      </c>
      <c r="G78">
        <v>17</v>
      </c>
      <c r="H78">
        <v>4381.0449032050756</v>
      </c>
    </row>
    <row r="79" spans="1:8" x14ac:dyDescent="0.25">
      <c r="A79" t="s">
        <v>238</v>
      </c>
      <c r="B79">
        <v>2025</v>
      </c>
      <c r="C79" t="str">
        <f t="shared" si="1"/>
        <v>MilletVT_2025</v>
      </c>
      <c r="D79">
        <v>2</v>
      </c>
      <c r="E79">
        <v>5</v>
      </c>
      <c r="F79">
        <v>5</v>
      </c>
      <c r="G79">
        <v>18</v>
      </c>
      <c r="H79">
        <v>5330.3416338661737</v>
      </c>
    </row>
    <row r="80" spans="1:8" x14ac:dyDescent="0.25">
      <c r="A80" t="s">
        <v>238</v>
      </c>
      <c r="B80">
        <v>2025</v>
      </c>
      <c r="C80" t="str">
        <f t="shared" si="1"/>
        <v>MilletVT_2025</v>
      </c>
      <c r="D80">
        <v>1</v>
      </c>
      <c r="E80">
        <v>1</v>
      </c>
      <c r="F80">
        <v>5</v>
      </c>
      <c r="G80">
        <v>19</v>
      </c>
      <c r="H80">
        <v>4873.7413446863193</v>
      </c>
    </row>
    <row r="81" spans="1:8" x14ac:dyDescent="0.25">
      <c r="A81" t="s">
        <v>238</v>
      </c>
      <c r="B81">
        <v>2025</v>
      </c>
      <c r="C81" t="str">
        <f t="shared" si="1"/>
        <v>MilletVT_2025</v>
      </c>
      <c r="D81">
        <v>3</v>
      </c>
      <c r="E81">
        <v>10</v>
      </c>
      <c r="F81">
        <v>5</v>
      </c>
      <c r="G81">
        <v>20</v>
      </c>
      <c r="H81">
        <v>4472.5881596915424</v>
      </c>
    </row>
    <row r="82" spans="1:8" x14ac:dyDescent="0.25">
      <c r="A82" t="s">
        <v>238</v>
      </c>
      <c r="B82">
        <v>2025</v>
      </c>
      <c r="C82" t="str">
        <f t="shared" si="1"/>
        <v>MilletVT_2025</v>
      </c>
      <c r="D82">
        <v>5</v>
      </c>
      <c r="E82">
        <v>1</v>
      </c>
      <c r="F82">
        <v>6</v>
      </c>
      <c r="G82">
        <v>1</v>
      </c>
      <c r="H82">
        <v>4685.1994537713872</v>
      </c>
    </row>
    <row r="83" spans="1:8" x14ac:dyDescent="0.25">
      <c r="A83" t="s">
        <v>238</v>
      </c>
      <c r="B83">
        <v>2025</v>
      </c>
      <c r="C83" t="str">
        <f t="shared" si="1"/>
        <v>MilletVT_2025</v>
      </c>
      <c r="D83">
        <v>6</v>
      </c>
      <c r="E83">
        <v>5</v>
      </c>
      <c r="F83">
        <v>6</v>
      </c>
      <c r="G83">
        <v>2</v>
      </c>
      <c r="H83">
        <v>4566.9863442846818</v>
      </c>
    </row>
    <row r="84" spans="1:8" x14ac:dyDescent="0.25">
      <c r="A84" t="s">
        <v>238</v>
      </c>
      <c r="B84">
        <v>2025</v>
      </c>
      <c r="C84" t="str">
        <f t="shared" si="1"/>
        <v>MilletVT_2025</v>
      </c>
      <c r="D84">
        <v>8</v>
      </c>
      <c r="E84">
        <v>13</v>
      </c>
      <c r="F84">
        <v>6</v>
      </c>
      <c r="G84">
        <v>3</v>
      </c>
      <c r="H84">
        <v>5030.6537071250705</v>
      </c>
    </row>
    <row r="85" spans="1:8" x14ac:dyDescent="0.25">
      <c r="A85" t="s">
        <v>238</v>
      </c>
      <c r="B85">
        <v>2025</v>
      </c>
      <c r="C85" t="str">
        <f t="shared" si="1"/>
        <v>MilletVT_2025</v>
      </c>
      <c r="D85">
        <v>6</v>
      </c>
      <c r="E85">
        <v>6</v>
      </c>
      <c r="F85">
        <v>6</v>
      </c>
      <c r="G85">
        <v>4</v>
      </c>
      <c r="H85">
        <v>5297.7180496425408</v>
      </c>
    </row>
    <row r="86" spans="1:8" x14ac:dyDescent="0.25">
      <c r="A86" t="s">
        <v>238</v>
      </c>
      <c r="B86">
        <v>2025</v>
      </c>
      <c r="C86" t="str">
        <f t="shared" si="1"/>
        <v>MilletVT_2025</v>
      </c>
      <c r="D86">
        <v>7</v>
      </c>
      <c r="E86">
        <v>9</v>
      </c>
      <c r="F86">
        <v>6</v>
      </c>
      <c r="G86">
        <v>5</v>
      </c>
      <c r="H86">
        <v>4971.7684954614824</v>
      </c>
    </row>
    <row r="87" spans="1:8" x14ac:dyDescent="0.25">
      <c r="A87" t="s">
        <v>238</v>
      </c>
      <c r="B87">
        <v>2025</v>
      </c>
      <c r="C87" t="str">
        <f t="shared" si="1"/>
        <v>MilletVT_2025</v>
      </c>
      <c r="D87">
        <v>8</v>
      </c>
      <c r="E87">
        <v>16</v>
      </c>
      <c r="F87">
        <v>6</v>
      </c>
      <c r="G87">
        <v>6</v>
      </c>
      <c r="H87">
        <v>3970.6986906578841</v>
      </c>
    </row>
    <row r="88" spans="1:8" x14ac:dyDescent="0.25">
      <c r="A88" t="s">
        <v>238</v>
      </c>
      <c r="B88">
        <v>2025</v>
      </c>
      <c r="C88" t="str">
        <f t="shared" si="1"/>
        <v>MilletVT_2025</v>
      </c>
      <c r="D88">
        <v>5</v>
      </c>
      <c r="E88">
        <v>2</v>
      </c>
      <c r="F88">
        <v>6</v>
      </c>
      <c r="G88">
        <v>7</v>
      </c>
      <c r="H88">
        <v>4296.6111334243715</v>
      </c>
    </row>
    <row r="89" spans="1:8" x14ac:dyDescent="0.25">
      <c r="A89" t="s">
        <v>238</v>
      </c>
      <c r="B89">
        <v>2025</v>
      </c>
      <c r="C89" t="str">
        <f t="shared" si="1"/>
        <v>MilletVT_2025</v>
      </c>
      <c r="D89">
        <v>8</v>
      </c>
      <c r="E89">
        <v>14</v>
      </c>
      <c r="F89">
        <v>6</v>
      </c>
      <c r="G89">
        <v>9</v>
      </c>
      <c r="H89">
        <v>4036.942565667925</v>
      </c>
    </row>
    <row r="90" spans="1:8" x14ac:dyDescent="0.25">
      <c r="A90" t="s">
        <v>238</v>
      </c>
      <c r="B90">
        <v>2025</v>
      </c>
      <c r="C90" t="str">
        <f t="shared" si="1"/>
        <v>MilletVT_2025</v>
      </c>
      <c r="D90">
        <v>7</v>
      </c>
      <c r="E90">
        <v>10</v>
      </c>
      <c r="F90">
        <v>6</v>
      </c>
      <c r="G90">
        <v>10</v>
      </c>
      <c r="H90">
        <v>5255.8908346051885</v>
      </c>
    </row>
    <row r="91" spans="1:8" x14ac:dyDescent="0.25">
      <c r="A91" t="s">
        <v>238</v>
      </c>
      <c r="B91">
        <v>2025</v>
      </c>
      <c r="C91" t="str">
        <f t="shared" si="1"/>
        <v>MilletVT_2025</v>
      </c>
      <c r="D91">
        <v>8</v>
      </c>
      <c r="E91">
        <v>15</v>
      </c>
      <c r="F91">
        <v>6</v>
      </c>
      <c r="G91">
        <v>11</v>
      </c>
      <c r="H91">
        <v>4142.2170455458272</v>
      </c>
    </row>
    <row r="92" spans="1:8" x14ac:dyDescent="0.25">
      <c r="A92" t="s">
        <v>238</v>
      </c>
      <c r="B92">
        <v>2025</v>
      </c>
      <c r="C92" t="str">
        <f t="shared" si="1"/>
        <v>MilletVT_2025</v>
      </c>
      <c r="D92">
        <v>7</v>
      </c>
      <c r="E92">
        <v>11</v>
      </c>
      <c r="F92">
        <v>6</v>
      </c>
      <c r="G92">
        <v>12</v>
      </c>
      <c r="H92">
        <v>4016.3033175355445</v>
      </c>
    </row>
    <row r="93" spans="1:8" x14ac:dyDescent="0.25">
      <c r="A93" t="s">
        <v>238</v>
      </c>
      <c r="B93">
        <v>2025</v>
      </c>
      <c r="C93" t="str">
        <f t="shared" si="1"/>
        <v>MilletVT_2025</v>
      </c>
      <c r="D93">
        <v>7</v>
      </c>
      <c r="E93">
        <v>12</v>
      </c>
      <c r="F93">
        <v>6</v>
      </c>
      <c r="G93">
        <v>13</v>
      </c>
      <c r="H93">
        <v>3744.8889870672342</v>
      </c>
    </row>
    <row r="94" spans="1:8" x14ac:dyDescent="0.25">
      <c r="A94" t="s">
        <v>238</v>
      </c>
      <c r="B94">
        <v>2025</v>
      </c>
      <c r="C94" t="str">
        <f t="shared" si="1"/>
        <v>MilletVT_2025</v>
      </c>
      <c r="D94">
        <v>5</v>
      </c>
      <c r="E94">
        <v>3</v>
      </c>
      <c r="F94">
        <v>6</v>
      </c>
      <c r="G94">
        <v>14</v>
      </c>
      <c r="H94">
        <v>3795.9728492248373</v>
      </c>
    </row>
    <row r="95" spans="1:8" x14ac:dyDescent="0.25">
      <c r="A95" t="s">
        <v>238</v>
      </c>
      <c r="B95">
        <v>2025</v>
      </c>
      <c r="C95" t="str">
        <f t="shared" si="1"/>
        <v>MilletVT_2025</v>
      </c>
      <c r="D95">
        <v>6</v>
      </c>
      <c r="E95">
        <v>7</v>
      </c>
      <c r="F95">
        <v>6</v>
      </c>
      <c r="G95">
        <v>18</v>
      </c>
      <c r="H95">
        <v>5352.9504377861676</v>
      </c>
    </row>
    <row r="96" spans="1:8" x14ac:dyDescent="0.25">
      <c r="A96" t="s">
        <v>238</v>
      </c>
      <c r="B96">
        <v>2025</v>
      </c>
      <c r="C96" t="str">
        <f t="shared" si="1"/>
        <v>MilletVT_2025</v>
      </c>
      <c r="D96">
        <v>5</v>
      </c>
      <c r="E96">
        <v>4</v>
      </c>
      <c r="F96">
        <v>6</v>
      </c>
      <c r="G96">
        <v>19</v>
      </c>
      <c r="H96">
        <v>5216.2399389509201</v>
      </c>
    </row>
    <row r="97" spans="1:8" x14ac:dyDescent="0.25">
      <c r="A97" t="s">
        <v>238</v>
      </c>
      <c r="B97">
        <v>2025</v>
      </c>
      <c r="C97" t="str">
        <f t="shared" si="1"/>
        <v>MilletVT_2025</v>
      </c>
      <c r="D97">
        <v>6</v>
      </c>
      <c r="E97">
        <v>8</v>
      </c>
      <c r="F97">
        <v>6</v>
      </c>
      <c r="G97">
        <v>20</v>
      </c>
      <c r="H97">
        <v>4031.4129648967796</v>
      </c>
    </row>
    <row r="98" spans="1:8" x14ac:dyDescent="0.25">
      <c r="A98" t="s">
        <v>238</v>
      </c>
      <c r="B98">
        <v>2025</v>
      </c>
      <c r="C98" t="str">
        <f t="shared" si="1"/>
        <v>MilletVT_2025</v>
      </c>
      <c r="D98">
        <v>7</v>
      </c>
      <c r="E98">
        <v>9</v>
      </c>
      <c r="F98">
        <v>7</v>
      </c>
      <c r="G98">
        <v>1</v>
      </c>
      <c r="H98">
        <v>5312.035103221142</v>
      </c>
    </row>
    <row r="99" spans="1:8" x14ac:dyDescent="0.25">
      <c r="A99" t="s">
        <v>238</v>
      </c>
      <c r="B99">
        <v>2025</v>
      </c>
      <c r="C99" t="str">
        <f t="shared" si="1"/>
        <v>MilletVT_2025</v>
      </c>
      <c r="D99">
        <v>8</v>
      </c>
      <c r="E99">
        <v>14</v>
      </c>
      <c r="F99">
        <v>7</v>
      </c>
      <c r="G99">
        <v>2</v>
      </c>
      <c r="H99">
        <v>4654.2909470640216</v>
      </c>
    </row>
    <row r="100" spans="1:8" x14ac:dyDescent="0.25">
      <c r="A100" t="s">
        <v>238</v>
      </c>
      <c r="B100">
        <v>2025</v>
      </c>
      <c r="C100" t="str">
        <f t="shared" si="1"/>
        <v>MilletVT_2025</v>
      </c>
      <c r="D100">
        <v>5</v>
      </c>
      <c r="E100">
        <v>1</v>
      </c>
      <c r="F100">
        <v>7</v>
      </c>
      <c r="G100">
        <v>3</v>
      </c>
      <c r="H100">
        <v>4558.2094947385331</v>
      </c>
    </row>
    <row r="101" spans="1:8" x14ac:dyDescent="0.25">
      <c r="A101" t="s">
        <v>238</v>
      </c>
      <c r="B101">
        <v>2025</v>
      </c>
      <c r="C101" t="str">
        <f t="shared" si="1"/>
        <v>MilletVT_2025</v>
      </c>
      <c r="D101">
        <v>7</v>
      </c>
      <c r="E101">
        <v>11</v>
      </c>
      <c r="F101">
        <v>7</v>
      </c>
      <c r="G101">
        <v>4</v>
      </c>
      <c r="H101">
        <v>4713.9661016949149</v>
      </c>
    </row>
    <row r="102" spans="1:8" x14ac:dyDescent="0.25">
      <c r="A102" t="s">
        <v>238</v>
      </c>
      <c r="B102">
        <v>2025</v>
      </c>
      <c r="C102" t="str">
        <f t="shared" si="1"/>
        <v>MilletVT_2025</v>
      </c>
      <c r="D102">
        <v>6</v>
      </c>
      <c r="E102">
        <v>7</v>
      </c>
      <c r="F102">
        <v>7</v>
      </c>
      <c r="G102">
        <v>5</v>
      </c>
      <c r="H102">
        <v>4280.0939031247481</v>
      </c>
    </row>
    <row r="103" spans="1:8" x14ac:dyDescent="0.25">
      <c r="A103" t="s">
        <v>238</v>
      </c>
      <c r="B103">
        <v>2025</v>
      </c>
      <c r="C103" t="str">
        <f t="shared" si="1"/>
        <v>MilletVT_2025</v>
      </c>
      <c r="D103">
        <v>7</v>
      </c>
      <c r="E103">
        <v>12</v>
      </c>
      <c r="F103">
        <v>7</v>
      </c>
      <c r="G103">
        <v>7</v>
      </c>
      <c r="H103">
        <v>4422.0344605992441</v>
      </c>
    </row>
    <row r="104" spans="1:8" x14ac:dyDescent="0.25">
      <c r="A104" t="s">
        <v>238</v>
      </c>
      <c r="B104">
        <v>2025</v>
      </c>
      <c r="C104" t="str">
        <f t="shared" si="1"/>
        <v>MilletVT_2025</v>
      </c>
      <c r="D104">
        <v>8</v>
      </c>
      <c r="E104">
        <v>15</v>
      </c>
      <c r="F104">
        <v>7</v>
      </c>
      <c r="G104">
        <v>8</v>
      </c>
      <c r="H104">
        <v>4044.0414491123788</v>
      </c>
    </row>
    <row r="105" spans="1:8" x14ac:dyDescent="0.25">
      <c r="A105" t="s">
        <v>238</v>
      </c>
      <c r="B105">
        <v>2025</v>
      </c>
      <c r="C105" t="str">
        <f t="shared" si="1"/>
        <v>MilletVT_2025</v>
      </c>
      <c r="D105">
        <v>5</v>
      </c>
      <c r="E105">
        <v>4</v>
      </c>
      <c r="F105">
        <v>7</v>
      </c>
      <c r="G105">
        <v>11</v>
      </c>
      <c r="H105">
        <v>4425.5361876455927</v>
      </c>
    </row>
    <row r="106" spans="1:8" x14ac:dyDescent="0.25">
      <c r="A106" t="s">
        <v>238</v>
      </c>
      <c r="B106">
        <v>2025</v>
      </c>
      <c r="C106" t="str">
        <f t="shared" si="1"/>
        <v>MilletVT_2025</v>
      </c>
      <c r="D106">
        <v>6</v>
      </c>
      <c r="E106">
        <v>6</v>
      </c>
      <c r="F106">
        <v>7</v>
      </c>
      <c r="G106">
        <v>12</v>
      </c>
      <c r="H106">
        <v>3922.960157442365</v>
      </c>
    </row>
    <row r="107" spans="1:8" x14ac:dyDescent="0.25">
      <c r="A107" t="s">
        <v>238</v>
      </c>
      <c r="B107">
        <v>2025</v>
      </c>
      <c r="C107" t="str">
        <f t="shared" si="1"/>
        <v>MilletVT_2025</v>
      </c>
      <c r="D107">
        <v>6</v>
      </c>
      <c r="E107">
        <v>8</v>
      </c>
      <c r="F107">
        <v>7</v>
      </c>
      <c r="G107">
        <v>14</v>
      </c>
      <c r="H107">
        <v>3937.0571933488632</v>
      </c>
    </row>
    <row r="108" spans="1:8" x14ac:dyDescent="0.25">
      <c r="A108" t="s">
        <v>238</v>
      </c>
      <c r="B108">
        <v>2025</v>
      </c>
      <c r="C108" t="str">
        <f t="shared" si="1"/>
        <v>MilletVT_2025</v>
      </c>
      <c r="D108">
        <v>8</v>
      </c>
      <c r="E108">
        <v>13</v>
      </c>
      <c r="F108">
        <v>7</v>
      </c>
      <c r="G108">
        <v>15</v>
      </c>
      <c r="H108">
        <v>4975.7924331271588</v>
      </c>
    </row>
    <row r="109" spans="1:8" x14ac:dyDescent="0.25">
      <c r="A109" t="s">
        <v>238</v>
      </c>
      <c r="B109">
        <v>2025</v>
      </c>
      <c r="C109" t="str">
        <f t="shared" si="1"/>
        <v>MilletVT_2025</v>
      </c>
      <c r="D109">
        <v>7</v>
      </c>
      <c r="E109">
        <v>10</v>
      </c>
      <c r="F109">
        <v>7</v>
      </c>
      <c r="G109">
        <v>16</v>
      </c>
      <c r="H109">
        <v>4865.4363402682948</v>
      </c>
    </row>
    <row r="110" spans="1:8" x14ac:dyDescent="0.25">
      <c r="A110" t="s">
        <v>238</v>
      </c>
      <c r="B110">
        <v>2025</v>
      </c>
      <c r="C110" t="str">
        <f t="shared" si="1"/>
        <v>MilletVT_2025</v>
      </c>
      <c r="D110">
        <v>6</v>
      </c>
      <c r="E110">
        <v>5</v>
      </c>
      <c r="F110">
        <v>7</v>
      </c>
      <c r="G110">
        <v>17</v>
      </c>
      <c r="H110">
        <v>4392.8039199935738</v>
      </c>
    </row>
    <row r="111" spans="1:8" x14ac:dyDescent="0.25">
      <c r="A111" t="s">
        <v>238</v>
      </c>
      <c r="B111">
        <v>2025</v>
      </c>
      <c r="C111" t="str">
        <f t="shared" si="1"/>
        <v>MilletVT_2025</v>
      </c>
      <c r="D111">
        <v>5</v>
      </c>
      <c r="E111">
        <v>3</v>
      </c>
      <c r="F111">
        <v>7</v>
      </c>
      <c r="G111">
        <v>18</v>
      </c>
      <c r="H111">
        <v>4695.6542694192303</v>
      </c>
    </row>
    <row r="112" spans="1:8" x14ac:dyDescent="0.25">
      <c r="A112" t="s">
        <v>238</v>
      </c>
      <c r="B112">
        <v>2025</v>
      </c>
      <c r="C112" t="str">
        <f t="shared" si="1"/>
        <v>MilletVT_2025</v>
      </c>
      <c r="D112">
        <v>8</v>
      </c>
      <c r="E112">
        <v>16</v>
      </c>
      <c r="F112">
        <v>7</v>
      </c>
      <c r="G112">
        <v>19</v>
      </c>
      <c r="H112">
        <v>4575.2727929954208</v>
      </c>
    </row>
    <row r="113" spans="1:8" x14ac:dyDescent="0.25">
      <c r="A113" t="s">
        <v>238</v>
      </c>
      <c r="B113">
        <v>2025</v>
      </c>
      <c r="C113" t="str">
        <f t="shared" si="1"/>
        <v>MilletVT_2025</v>
      </c>
      <c r="D113">
        <v>5</v>
      </c>
      <c r="E113">
        <v>2</v>
      </c>
      <c r="F113">
        <v>7</v>
      </c>
      <c r="G113">
        <v>20</v>
      </c>
      <c r="H113">
        <v>4285.1596112137522</v>
      </c>
    </row>
    <row r="114" spans="1:8" x14ac:dyDescent="0.25">
      <c r="A114" t="s">
        <v>238</v>
      </c>
      <c r="B114">
        <v>2025</v>
      </c>
      <c r="C114" t="str">
        <f t="shared" si="1"/>
        <v>MilletVT_2025</v>
      </c>
      <c r="D114">
        <v>8</v>
      </c>
      <c r="E114">
        <v>13</v>
      </c>
      <c r="F114">
        <v>8</v>
      </c>
      <c r="G114">
        <v>1</v>
      </c>
      <c r="H114">
        <v>5007.0402441963206</v>
      </c>
    </row>
    <row r="115" spans="1:8" x14ac:dyDescent="0.25">
      <c r="A115" t="s">
        <v>238</v>
      </c>
      <c r="B115">
        <v>2025</v>
      </c>
      <c r="C115" t="str">
        <f t="shared" si="1"/>
        <v>MilletVT_2025</v>
      </c>
      <c r="D115">
        <v>8</v>
      </c>
      <c r="E115">
        <v>16</v>
      </c>
      <c r="F115">
        <v>8</v>
      </c>
      <c r="G115">
        <v>4</v>
      </c>
      <c r="H115">
        <v>4399.2400996063934</v>
      </c>
    </row>
    <row r="116" spans="1:8" x14ac:dyDescent="0.25">
      <c r="A116" t="s">
        <v>238</v>
      </c>
      <c r="B116">
        <v>2025</v>
      </c>
      <c r="C116" t="str">
        <f t="shared" si="1"/>
        <v>MilletVT_2025</v>
      </c>
      <c r="D116">
        <v>5</v>
      </c>
      <c r="E116">
        <v>4</v>
      </c>
      <c r="F116">
        <v>8</v>
      </c>
      <c r="G116">
        <v>5</v>
      </c>
      <c r="H116">
        <v>4412.2184914450954</v>
      </c>
    </row>
    <row r="117" spans="1:8" x14ac:dyDescent="0.25">
      <c r="A117" t="s">
        <v>238</v>
      </c>
      <c r="B117">
        <v>2025</v>
      </c>
      <c r="C117" t="str">
        <f t="shared" si="1"/>
        <v>MilletVT_2025</v>
      </c>
      <c r="D117">
        <v>7</v>
      </c>
      <c r="E117">
        <v>10</v>
      </c>
      <c r="F117">
        <v>8</v>
      </c>
      <c r="G117">
        <v>6</v>
      </c>
      <c r="H117">
        <v>3833.6621415374725</v>
      </c>
    </row>
    <row r="118" spans="1:8" x14ac:dyDescent="0.25">
      <c r="A118" t="s">
        <v>238</v>
      </c>
      <c r="B118">
        <v>2025</v>
      </c>
      <c r="C118" t="str">
        <f t="shared" si="1"/>
        <v>MilletVT_2025</v>
      </c>
      <c r="D118">
        <v>8</v>
      </c>
      <c r="E118">
        <v>15</v>
      </c>
      <c r="F118">
        <v>8</v>
      </c>
      <c r="G118">
        <v>7</v>
      </c>
      <c r="H118">
        <v>4836.507992609847</v>
      </c>
    </row>
    <row r="119" spans="1:8" x14ac:dyDescent="0.25">
      <c r="A119" t="s">
        <v>238</v>
      </c>
      <c r="B119">
        <v>2025</v>
      </c>
      <c r="C119" t="str">
        <f t="shared" si="1"/>
        <v>MilletVT_2025</v>
      </c>
      <c r="D119">
        <v>6</v>
      </c>
      <c r="E119">
        <v>5</v>
      </c>
      <c r="F119">
        <v>8</v>
      </c>
      <c r="G119">
        <v>8</v>
      </c>
      <c r="H119">
        <v>4391.7754036468796</v>
      </c>
    </row>
    <row r="120" spans="1:8" x14ac:dyDescent="0.25">
      <c r="A120" t="s">
        <v>238</v>
      </c>
      <c r="B120">
        <v>2025</v>
      </c>
      <c r="C120" t="str">
        <f t="shared" si="1"/>
        <v>MilletVT_2025</v>
      </c>
      <c r="D120">
        <v>5</v>
      </c>
      <c r="E120">
        <v>2</v>
      </c>
      <c r="F120">
        <v>8</v>
      </c>
      <c r="G120">
        <v>9</v>
      </c>
      <c r="H120">
        <v>3971.2394569844969</v>
      </c>
    </row>
    <row r="121" spans="1:8" x14ac:dyDescent="0.25">
      <c r="A121" t="s">
        <v>238</v>
      </c>
      <c r="B121">
        <v>2025</v>
      </c>
      <c r="C121" t="str">
        <f t="shared" si="1"/>
        <v>MilletVT_2025</v>
      </c>
      <c r="D121">
        <v>6</v>
      </c>
      <c r="E121">
        <v>8</v>
      </c>
      <c r="F121">
        <v>8</v>
      </c>
      <c r="G121">
        <v>10</v>
      </c>
      <c r="H121">
        <v>4730.7219053739254</v>
      </c>
    </row>
    <row r="122" spans="1:8" x14ac:dyDescent="0.25">
      <c r="A122" t="s">
        <v>238</v>
      </c>
      <c r="B122">
        <v>2025</v>
      </c>
      <c r="C122" t="str">
        <f t="shared" si="1"/>
        <v>MilletVT_2025</v>
      </c>
      <c r="D122">
        <v>8</v>
      </c>
      <c r="E122">
        <v>14</v>
      </c>
      <c r="F122">
        <v>8</v>
      </c>
      <c r="G122">
        <v>12</v>
      </c>
      <c r="H122">
        <v>4523.7807052775315</v>
      </c>
    </row>
    <row r="123" spans="1:8" x14ac:dyDescent="0.25">
      <c r="A123" t="s">
        <v>238</v>
      </c>
      <c r="B123">
        <v>2025</v>
      </c>
      <c r="C123" t="str">
        <f t="shared" si="1"/>
        <v>MilletVT_2025</v>
      </c>
      <c r="D123">
        <v>5</v>
      </c>
      <c r="E123">
        <v>1</v>
      </c>
      <c r="F123">
        <v>8</v>
      </c>
      <c r="G123">
        <v>13</v>
      </c>
      <c r="H123">
        <v>3648.8366937103378</v>
      </c>
    </row>
    <row r="124" spans="1:8" x14ac:dyDescent="0.25">
      <c r="A124" t="s">
        <v>238</v>
      </c>
      <c r="B124">
        <v>2025</v>
      </c>
      <c r="C124" t="str">
        <f t="shared" si="1"/>
        <v>MilletVT_2025</v>
      </c>
      <c r="D124">
        <v>7</v>
      </c>
      <c r="E124">
        <v>9</v>
      </c>
      <c r="F124">
        <v>8</v>
      </c>
      <c r="G124">
        <v>14</v>
      </c>
      <c r="H124">
        <v>4186.4326451923844</v>
      </c>
    </row>
    <row r="125" spans="1:8" x14ac:dyDescent="0.25">
      <c r="A125" t="s">
        <v>238</v>
      </c>
      <c r="B125">
        <v>2025</v>
      </c>
      <c r="C125" t="str">
        <f t="shared" si="1"/>
        <v>MilletVT_2025</v>
      </c>
      <c r="D125">
        <v>6</v>
      </c>
      <c r="E125">
        <v>7</v>
      </c>
      <c r="F125">
        <v>8</v>
      </c>
      <c r="G125">
        <v>15</v>
      </c>
      <c r="H125">
        <v>4608.3072535946667</v>
      </c>
    </row>
    <row r="126" spans="1:8" x14ac:dyDescent="0.25">
      <c r="A126" t="s">
        <v>238</v>
      </c>
      <c r="B126">
        <v>2025</v>
      </c>
      <c r="C126" t="str">
        <f t="shared" si="1"/>
        <v>MilletVT_2025</v>
      </c>
      <c r="D126">
        <v>6</v>
      </c>
      <c r="E126">
        <v>6</v>
      </c>
      <c r="F126">
        <v>8</v>
      </c>
      <c r="G126">
        <v>16</v>
      </c>
      <c r="H126">
        <v>4236.2520684392312</v>
      </c>
    </row>
    <row r="127" spans="1:8" x14ac:dyDescent="0.25">
      <c r="A127" t="s">
        <v>238</v>
      </c>
      <c r="B127">
        <v>2025</v>
      </c>
      <c r="C127" t="str">
        <f t="shared" si="1"/>
        <v>MilletVT_2025</v>
      </c>
      <c r="D127">
        <v>5</v>
      </c>
      <c r="E127">
        <v>3</v>
      </c>
      <c r="F127">
        <v>8</v>
      </c>
      <c r="G127">
        <v>17</v>
      </c>
      <c r="H127">
        <v>3832.2757651216962</v>
      </c>
    </row>
    <row r="128" spans="1:8" x14ac:dyDescent="0.25">
      <c r="A128" t="s">
        <v>238</v>
      </c>
      <c r="B128">
        <v>2025</v>
      </c>
      <c r="C128" t="str">
        <f t="shared" si="1"/>
        <v>MilletVT_2025</v>
      </c>
      <c r="D128">
        <v>7</v>
      </c>
      <c r="E128">
        <v>11</v>
      </c>
      <c r="F128">
        <v>8</v>
      </c>
      <c r="G128">
        <v>18</v>
      </c>
      <c r="H128">
        <v>4857.9902000160655</v>
      </c>
    </row>
    <row r="129" spans="1:8" x14ac:dyDescent="0.25">
      <c r="A129" t="s">
        <v>238</v>
      </c>
      <c r="B129">
        <v>2025</v>
      </c>
      <c r="C129" t="str">
        <f t="shared" si="1"/>
        <v>MilletVT_2025</v>
      </c>
      <c r="D129">
        <v>7</v>
      </c>
      <c r="E129">
        <v>12</v>
      </c>
      <c r="F129">
        <v>8</v>
      </c>
      <c r="G129">
        <v>19</v>
      </c>
      <c r="H129">
        <v>4521.4426861595311</v>
      </c>
    </row>
    <row r="130" spans="1:8" x14ac:dyDescent="0.25">
      <c r="A130" t="s">
        <v>238</v>
      </c>
      <c r="B130">
        <v>2025</v>
      </c>
      <c r="C130" t="str">
        <f t="shared" si="1"/>
        <v>MilletVT_2025</v>
      </c>
      <c r="D130">
        <v>5</v>
      </c>
      <c r="E130">
        <v>1</v>
      </c>
      <c r="F130">
        <v>9</v>
      </c>
      <c r="G130">
        <v>2</v>
      </c>
      <c r="H130">
        <v>4074.3111093260491</v>
      </c>
    </row>
    <row r="131" spans="1:8" x14ac:dyDescent="0.25">
      <c r="A131" t="s">
        <v>238</v>
      </c>
      <c r="B131">
        <v>2025</v>
      </c>
      <c r="C131" t="str">
        <f t="shared" ref="C131:C161" si="2">A131&amp;"_"&amp;B131</f>
        <v>MilletVT_2025</v>
      </c>
      <c r="D131">
        <v>6</v>
      </c>
      <c r="E131">
        <v>5</v>
      </c>
      <c r="F131">
        <v>9</v>
      </c>
      <c r="G131">
        <v>3</v>
      </c>
      <c r="H131">
        <v>5232.9321230620935</v>
      </c>
    </row>
    <row r="132" spans="1:8" x14ac:dyDescent="0.25">
      <c r="A132" t="s">
        <v>238</v>
      </c>
      <c r="B132">
        <v>2025</v>
      </c>
      <c r="C132" t="str">
        <f t="shared" si="2"/>
        <v>MilletVT_2025</v>
      </c>
      <c r="D132">
        <v>5</v>
      </c>
      <c r="E132">
        <v>4</v>
      </c>
      <c r="F132">
        <v>9</v>
      </c>
      <c r="G132">
        <v>4</v>
      </c>
      <c r="H132">
        <v>5177.6546710579159</v>
      </c>
    </row>
    <row r="133" spans="1:8" x14ac:dyDescent="0.25">
      <c r="A133" t="s">
        <v>238</v>
      </c>
      <c r="B133">
        <v>2025</v>
      </c>
      <c r="C133" t="str">
        <f t="shared" si="2"/>
        <v>MilletVT_2025</v>
      </c>
      <c r="D133">
        <v>5</v>
      </c>
      <c r="E133">
        <v>2</v>
      </c>
      <c r="F133">
        <v>9</v>
      </c>
      <c r="G133">
        <v>6</v>
      </c>
      <c r="H133">
        <v>4549.891236243875</v>
      </c>
    </row>
    <row r="134" spans="1:8" x14ac:dyDescent="0.25">
      <c r="A134" t="s">
        <v>238</v>
      </c>
      <c r="B134">
        <v>2025</v>
      </c>
      <c r="C134" t="str">
        <f t="shared" si="2"/>
        <v>MilletVT_2025</v>
      </c>
      <c r="D134">
        <v>7</v>
      </c>
      <c r="E134">
        <v>10</v>
      </c>
      <c r="F134">
        <v>9</v>
      </c>
      <c r="G134">
        <v>8</v>
      </c>
      <c r="H134">
        <v>4258.0258655313692</v>
      </c>
    </row>
    <row r="135" spans="1:8" x14ac:dyDescent="0.25">
      <c r="A135" t="s">
        <v>238</v>
      </c>
      <c r="B135">
        <v>2025</v>
      </c>
      <c r="C135" t="str">
        <f t="shared" si="2"/>
        <v>MilletVT_2025</v>
      </c>
      <c r="D135">
        <v>7</v>
      </c>
      <c r="E135">
        <v>9</v>
      </c>
      <c r="F135">
        <v>9</v>
      </c>
      <c r="G135">
        <v>9</v>
      </c>
      <c r="H135">
        <v>4392.5494417222271</v>
      </c>
    </row>
    <row r="136" spans="1:8" x14ac:dyDescent="0.25">
      <c r="A136" t="s">
        <v>238</v>
      </c>
      <c r="B136">
        <v>2025</v>
      </c>
      <c r="C136" t="str">
        <f t="shared" si="2"/>
        <v>MilletVT_2025</v>
      </c>
      <c r="D136">
        <v>8</v>
      </c>
      <c r="E136">
        <v>14</v>
      </c>
      <c r="F136">
        <v>9</v>
      </c>
      <c r="G136">
        <v>10</v>
      </c>
      <c r="H136">
        <v>4879.5651859587106</v>
      </c>
    </row>
    <row r="137" spans="1:8" x14ac:dyDescent="0.25">
      <c r="A137" t="s">
        <v>238</v>
      </c>
      <c r="B137">
        <v>2025</v>
      </c>
      <c r="C137" t="str">
        <f t="shared" si="2"/>
        <v>MilletVT_2025</v>
      </c>
      <c r="D137">
        <v>6</v>
      </c>
      <c r="E137">
        <v>8</v>
      </c>
      <c r="F137">
        <v>9</v>
      </c>
      <c r="G137">
        <v>11</v>
      </c>
      <c r="H137">
        <v>4141.7982167242353</v>
      </c>
    </row>
    <row r="138" spans="1:8" x14ac:dyDescent="0.25">
      <c r="A138" t="s">
        <v>238</v>
      </c>
      <c r="B138">
        <v>2025</v>
      </c>
      <c r="C138" t="str">
        <f t="shared" si="2"/>
        <v>MilletVT_2025</v>
      </c>
      <c r="D138">
        <v>6</v>
      </c>
      <c r="E138">
        <v>6</v>
      </c>
      <c r="F138">
        <v>9</v>
      </c>
      <c r="G138">
        <v>13</v>
      </c>
      <c r="H138">
        <v>3710.7385332155186</v>
      </c>
    </row>
    <row r="139" spans="1:8" x14ac:dyDescent="0.25">
      <c r="A139" t="s">
        <v>238</v>
      </c>
      <c r="B139">
        <v>2025</v>
      </c>
      <c r="C139" t="str">
        <f t="shared" si="2"/>
        <v>MilletVT_2025</v>
      </c>
      <c r="D139">
        <v>8</v>
      </c>
      <c r="E139">
        <v>16</v>
      </c>
      <c r="F139">
        <v>9</v>
      </c>
      <c r="G139">
        <v>14</v>
      </c>
      <c r="H139">
        <v>3482.1057113021125</v>
      </c>
    </row>
    <row r="140" spans="1:8" x14ac:dyDescent="0.25">
      <c r="A140" t="s">
        <v>238</v>
      </c>
      <c r="B140">
        <v>2025</v>
      </c>
      <c r="C140" t="str">
        <f t="shared" si="2"/>
        <v>MilletVT_2025</v>
      </c>
      <c r="D140">
        <v>7</v>
      </c>
      <c r="E140">
        <v>11</v>
      </c>
      <c r="F140">
        <v>9</v>
      </c>
      <c r="G140">
        <v>15</v>
      </c>
      <c r="H140">
        <v>4541.1965619728489</v>
      </c>
    </row>
    <row r="141" spans="1:8" x14ac:dyDescent="0.25">
      <c r="A141" t="s">
        <v>238</v>
      </c>
      <c r="B141">
        <v>2025</v>
      </c>
      <c r="C141" t="str">
        <f t="shared" si="2"/>
        <v>MilletVT_2025</v>
      </c>
      <c r="D141">
        <v>5</v>
      </c>
      <c r="E141">
        <v>3</v>
      </c>
      <c r="F141">
        <v>9</v>
      </c>
      <c r="G141">
        <v>16</v>
      </c>
      <c r="H141">
        <v>3968.1751144670261</v>
      </c>
    </row>
    <row r="142" spans="1:8" x14ac:dyDescent="0.25">
      <c r="A142" t="s">
        <v>238</v>
      </c>
      <c r="B142">
        <v>2025</v>
      </c>
      <c r="C142" t="str">
        <f t="shared" si="2"/>
        <v>MilletVT_2025</v>
      </c>
      <c r="D142">
        <v>8</v>
      </c>
      <c r="E142">
        <v>13</v>
      </c>
      <c r="F142">
        <v>9</v>
      </c>
      <c r="G142">
        <v>17</v>
      </c>
      <c r="H142">
        <v>4471.0824965860711</v>
      </c>
    </row>
    <row r="143" spans="1:8" x14ac:dyDescent="0.25">
      <c r="A143" t="s">
        <v>238</v>
      </c>
      <c r="B143">
        <v>2025</v>
      </c>
      <c r="C143" t="str">
        <f t="shared" si="2"/>
        <v>MilletVT_2025</v>
      </c>
      <c r="D143">
        <v>8</v>
      </c>
      <c r="E143">
        <v>15</v>
      </c>
      <c r="F143">
        <v>9</v>
      </c>
      <c r="G143">
        <v>18</v>
      </c>
      <c r="H143">
        <v>5065.9996786890515</v>
      </c>
    </row>
    <row r="144" spans="1:8" x14ac:dyDescent="0.25">
      <c r="A144" t="s">
        <v>238</v>
      </c>
      <c r="B144">
        <v>2025</v>
      </c>
      <c r="C144" t="str">
        <f t="shared" si="2"/>
        <v>MilletVT_2025</v>
      </c>
      <c r="D144">
        <v>6</v>
      </c>
      <c r="E144">
        <v>7</v>
      </c>
      <c r="F144">
        <v>9</v>
      </c>
      <c r="G144">
        <v>19</v>
      </c>
      <c r="H144">
        <v>5007.7029480279534</v>
      </c>
    </row>
    <row r="145" spans="1:8" x14ac:dyDescent="0.25">
      <c r="A145" t="s">
        <v>238</v>
      </c>
      <c r="B145">
        <v>2025</v>
      </c>
      <c r="C145" t="str">
        <f t="shared" si="2"/>
        <v>MilletVT_2025</v>
      </c>
      <c r="D145">
        <v>7</v>
      </c>
      <c r="E145">
        <v>12</v>
      </c>
      <c r="F145">
        <v>9</v>
      </c>
      <c r="G145">
        <v>20</v>
      </c>
      <c r="H145">
        <v>3744.8068117921111</v>
      </c>
    </row>
    <row r="146" spans="1:8" x14ac:dyDescent="0.25">
      <c r="A146" t="s">
        <v>238</v>
      </c>
      <c r="B146">
        <v>2025</v>
      </c>
      <c r="C146" t="str">
        <f t="shared" si="2"/>
        <v>MilletVT_2025</v>
      </c>
      <c r="D146">
        <v>6</v>
      </c>
      <c r="E146">
        <v>8</v>
      </c>
      <c r="F146">
        <v>10</v>
      </c>
      <c r="G146">
        <v>1</v>
      </c>
      <c r="H146">
        <v>4899.08844083862</v>
      </c>
    </row>
    <row r="147" spans="1:8" x14ac:dyDescent="0.25">
      <c r="A147" t="s">
        <v>238</v>
      </c>
      <c r="B147">
        <v>2025</v>
      </c>
      <c r="C147" t="str">
        <f t="shared" si="2"/>
        <v>MilletVT_2025</v>
      </c>
      <c r="D147">
        <v>7</v>
      </c>
      <c r="E147">
        <v>11</v>
      </c>
      <c r="F147">
        <v>10</v>
      </c>
      <c r="G147">
        <v>2</v>
      </c>
      <c r="H147">
        <v>4553.7031086834286</v>
      </c>
    </row>
    <row r="148" spans="1:8" x14ac:dyDescent="0.25">
      <c r="A148" t="s">
        <v>238</v>
      </c>
      <c r="B148">
        <v>2025</v>
      </c>
      <c r="C148" t="str">
        <f t="shared" si="2"/>
        <v>MilletVT_2025</v>
      </c>
      <c r="D148">
        <v>7</v>
      </c>
      <c r="E148">
        <v>9</v>
      </c>
      <c r="F148">
        <v>10</v>
      </c>
      <c r="G148">
        <v>3</v>
      </c>
      <c r="H148">
        <v>4985.0040163868589</v>
      </c>
    </row>
    <row r="149" spans="1:8" x14ac:dyDescent="0.25">
      <c r="A149" t="s">
        <v>238</v>
      </c>
      <c r="B149">
        <v>2025</v>
      </c>
      <c r="C149" t="str">
        <f t="shared" si="2"/>
        <v>MilletVT_2025</v>
      </c>
      <c r="D149">
        <v>8</v>
      </c>
      <c r="E149">
        <v>13</v>
      </c>
      <c r="F149">
        <v>10</v>
      </c>
      <c r="G149">
        <v>5</v>
      </c>
      <c r="H149">
        <v>4714.0297212627511</v>
      </c>
    </row>
    <row r="150" spans="1:8" x14ac:dyDescent="0.25">
      <c r="A150" t="s">
        <v>238</v>
      </c>
      <c r="B150">
        <v>2025</v>
      </c>
      <c r="C150" t="str">
        <f t="shared" si="2"/>
        <v>MilletVT_2025</v>
      </c>
      <c r="D150">
        <v>6</v>
      </c>
      <c r="E150">
        <v>7</v>
      </c>
      <c r="F150">
        <v>10</v>
      </c>
      <c r="G150">
        <v>6</v>
      </c>
      <c r="H150">
        <v>4541.0136557153173</v>
      </c>
    </row>
    <row r="151" spans="1:8" x14ac:dyDescent="0.25">
      <c r="A151" t="s">
        <v>238</v>
      </c>
      <c r="B151">
        <v>2025</v>
      </c>
      <c r="C151" t="str">
        <f t="shared" si="2"/>
        <v>MilletVT_2025</v>
      </c>
      <c r="D151">
        <v>6</v>
      </c>
      <c r="E151">
        <v>6</v>
      </c>
      <c r="F151">
        <v>10</v>
      </c>
      <c r="G151">
        <v>7</v>
      </c>
      <c r="H151">
        <v>4433.4170616113743</v>
      </c>
    </row>
    <row r="152" spans="1:8" x14ac:dyDescent="0.25">
      <c r="A152" t="s">
        <v>238</v>
      </c>
      <c r="B152">
        <v>2025</v>
      </c>
      <c r="C152" t="str">
        <f t="shared" si="2"/>
        <v>MilletVT_2025</v>
      </c>
      <c r="D152">
        <v>5</v>
      </c>
      <c r="E152">
        <v>1</v>
      </c>
      <c r="F152">
        <v>10</v>
      </c>
      <c r="G152">
        <v>8</v>
      </c>
      <c r="H152">
        <v>4424.3088601494092</v>
      </c>
    </row>
    <row r="153" spans="1:8" x14ac:dyDescent="0.25">
      <c r="A153" t="s">
        <v>238</v>
      </c>
      <c r="B153">
        <v>2025</v>
      </c>
      <c r="C153" t="str">
        <f t="shared" si="2"/>
        <v>MilletVT_2025</v>
      </c>
      <c r="D153">
        <v>6</v>
      </c>
      <c r="E153">
        <v>5</v>
      </c>
      <c r="F153">
        <v>10</v>
      </c>
      <c r="G153">
        <v>9</v>
      </c>
      <c r="H153">
        <v>3755.5028516346692</v>
      </c>
    </row>
    <row r="154" spans="1:8" x14ac:dyDescent="0.25">
      <c r="A154" t="s">
        <v>238</v>
      </c>
      <c r="B154">
        <v>2025</v>
      </c>
      <c r="C154" t="str">
        <f t="shared" si="2"/>
        <v>MilletVT_2025</v>
      </c>
      <c r="D154">
        <v>5</v>
      </c>
      <c r="E154">
        <v>2</v>
      </c>
      <c r="F154">
        <v>10</v>
      </c>
      <c r="G154">
        <v>10</v>
      </c>
      <c r="H154">
        <v>5283.2313438830424</v>
      </c>
    </row>
    <row r="155" spans="1:8" x14ac:dyDescent="0.25">
      <c r="A155" t="s">
        <v>238</v>
      </c>
      <c r="B155">
        <v>2025</v>
      </c>
      <c r="C155" t="str">
        <f t="shared" si="2"/>
        <v>MilletVT_2025</v>
      </c>
      <c r="D155">
        <v>7</v>
      </c>
      <c r="E155">
        <v>10</v>
      </c>
      <c r="F155">
        <v>10</v>
      </c>
      <c r="G155">
        <v>11</v>
      </c>
      <c r="H155">
        <v>4124.2100570326938</v>
      </c>
    </row>
    <row r="156" spans="1:8" x14ac:dyDescent="0.25">
      <c r="A156" t="s">
        <v>238</v>
      </c>
      <c r="B156">
        <v>2025</v>
      </c>
      <c r="C156" t="str">
        <f t="shared" si="2"/>
        <v>MilletVT_2025</v>
      </c>
      <c r="D156">
        <v>5</v>
      </c>
      <c r="E156">
        <v>4</v>
      </c>
      <c r="F156">
        <v>10</v>
      </c>
      <c r="G156">
        <v>12</v>
      </c>
      <c r="H156">
        <v>4657.0849064181866</v>
      </c>
    </row>
    <row r="157" spans="1:8" x14ac:dyDescent="0.25">
      <c r="A157" t="s">
        <v>238</v>
      </c>
      <c r="B157">
        <v>2025</v>
      </c>
      <c r="C157" t="str">
        <f t="shared" si="2"/>
        <v>MilletVT_2025</v>
      </c>
      <c r="D157">
        <v>8</v>
      </c>
      <c r="E157">
        <v>16</v>
      </c>
      <c r="F157">
        <v>10</v>
      </c>
      <c r="G157">
        <v>13</v>
      </c>
      <c r="H157">
        <v>3804.4819664230058</v>
      </c>
    </row>
    <row r="158" spans="1:8" x14ac:dyDescent="0.25">
      <c r="A158" t="s">
        <v>238</v>
      </c>
      <c r="B158">
        <v>2025</v>
      </c>
      <c r="C158" t="str">
        <f t="shared" si="2"/>
        <v>MilletVT_2025</v>
      </c>
      <c r="D158">
        <v>5</v>
      </c>
      <c r="E158">
        <v>3</v>
      </c>
      <c r="F158">
        <v>10</v>
      </c>
      <c r="G158">
        <v>15</v>
      </c>
      <c r="H158">
        <v>4736.2753634830115</v>
      </c>
    </row>
    <row r="159" spans="1:8" x14ac:dyDescent="0.25">
      <c r="A159" t="s">
        <v>238</v>
      </c>
      <c r="B159">
        <v>2025</v>
      </c>
      <c r="C159" t="str">
        <f t="shared" si="2"/>
        <v>MilletVT_2025</v>
      </c>
      <c r="D159">
        <v>8</v>
      </c>
      <c r="E159">
        <v>14</v>
      </c>
      <c r="F159">
        <v>10</v>
      </c>
      <c r="G159">
        <v>16</v>
      </c>
      <c r="H159">
        <v>4741.9003936059116</v>
      </c>
    </row>
    <row r="160" spans="1:8" x14ac:dyDescent="0.25">
      <c r="A160" t="s">
        <v>238</v>
      </c>
      <c r="B160">
        <v>2025</v>
      </c>
      <c r="C160" t="str">
        <f t="shared" si="2"/>
        <v>MilletVT_2025</v>
      </c>
      <c r="D160">
        <v>7</v>
      </c>
      <c r="E160">
        <v>12</v>
      </c>
      <c r="F160">
        <v>10</v>
      </c>
      <c r="G160">
        <v>17</v>
      </c>
      <c r="H160">
        <v>4058.7693790665921</v>
      </c>
    </row>
    <row r="161" spans="1:8" x14ac:dyDescent="0.25">
      <c r="A161" t="s">
        <v>238</v>
      </c>
      <c r="B161">
        <v>2025</v>
      </c>
      <c r="C161" t="str">
        <f t="shared" si="2"/>
        <v>MilletVT_2025</v>
      </c>
      <c r="D161">
        <v>8</v>
      </c>
      <c r="E161">
        <v>15</v>
      </c>
      <c r="F161">
        <v>10</v>
      </c>
      <c r="G161">
        <v>20</v>
      </c>
      <c r="H161">
        <v>4407.2455618925205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Metadata</vt:lpstr>
      <vt:lpstr>Maps</vt:lpstr>
      <vt:lpstr>Sheet2</vt:lpstr>
      <vt:lpstr>25 MIllet VT Rand</vt:lpstr>
      <vt:lpstr>SAS</vt:lpstr>
      <vt:lpstr>AJ csv</vt:lpstr>
      <vt:lpstr>entry</vt:lpstr>
      <vt:lpstr>pull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Ansley Brown</cp:lastModifiedBy>
  <cp:revision/>
  <dcterms:created xsi:type="dcterms:W3CDTF">2022-08-22T00:41:32Z</dcterms:created>
  <dcterms:modified xsi:type="dcterms:W3CDTF">2025-11-20T21:32:52Z</dcterms:modified>
  <cp:category/>
  <cp:contentStatus/>
</cp:coreProperties>
</file>